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 1st sememstr\Modelování v ekonomii a managementu\"/>
    </mc:Choice>
  </mc:AlternateContent>
  <xr:revisionPtr revIDLastSave="0" documentId="13_ncr:1_{A2AE0017-816D-4571-8CE0-6F1C0B3E7CFC}" xr6:coauthVersionLast="47" xr6:coauthVersionMax="47" xr10:uidLastSave="{00000000-0000-0000-0000-000000000000}"/>
  <bookViews>
    <workbookView xWindow="22932" yWindow="-108" windowWidth="23256" windowHeight="12576" activeTab="5" xr2:uid="{832F2926-21CA-41A5-B17A-13359E33FEED}"/>
  </bookViews>
  <sheets>
    <sheet name="Czech Republic" sheetId="10" r:id="rId1"/>
    <sheet name="Taiwan" sheetId="14" r:id="rId2"/>
    <sheet name="Singapore" sheetId="12" r:id="rId3"/>
    <sheet name="Taiwan_54years v.s Rezidu" sheetId="11" r:id="rId4"/>
    <sheet name="Convergence_4" sheetId="1" r:id="rId5"/>
    <sheet name="SS_3" sheetId="15" r:id="rId6"/>
  </sheets>
  <externalReferences>
    <externalReference r:id="rId7"/>
  </externalReferences>
  <definedNames>
    <definedName name="_xlnm.Print_Titles" localSheetId="0">'Czech Republic'!$1:$1</definedName>
    <definedName name="_xlnm.Print_Titles" localSheetId="2">Singapore!$1:$1</definedName>
    <definedName name="_xlnm.Print_Titles" localSheetId="1">Taiwan!$1:$1</definedName>
    <definedName name="_xlnm.Print_Titles" localSheetId="3">'Taiwan_54years v.s Rezidu'!$1:$1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Convergence_4!$A$50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4" l="1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3" i="12"/>
  <c r="F21" i="12" l="1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G4" i="10" l="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3" i="10"/>
  <c r="F3" i="10" l="1"/>
  <c r="C61" i="11"/>
  <c r="E54" i="11" s="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E47" i="11" l="1"/>
  <c r="F14" i="1" s="1"/>
  <c r="E48" i="11"/>
  <c r="F15" i="1" s="1"/>
  <c r="E2" i="11"/>
  <c r="H55" i="11" s="1"/>
  <c r="E4" i="11"/>
  <c r="G4" i="11" s="1"/>
  <c r="E6" i="11"/>
  <c r="E8" i="11"/>
  <c r="E10" i="11"/>
  <c r="G10" i="11" s="1"/>
  <c r="E12" i="11"/>
  <c r="G12" i="11" s="1"/>
  <c r="E14" i="11"/>
  <c r="E16" i="11"/>
  <c r="E18" i="11"/>
  <c r="E20" i="11"/>
  <c r="E22" i="11"/>
  <c r="E24" i="11"/>
  <c r="E26" i="11"/>
  <c r="E28" i="11"/>
  <c r="E30" i="11"/>
  <c r="E32" i="11"/>
  <c r="E34" i="11"/>
  <c r="E36" i="11"/>
  <c r="F3" i="1" s="1"/>
  <c r="F23" i="1" s="1"/>
  <c r="E38" i="11"/>
  <c r="F5" i="1" s="1"/>
  <c r="E40" i="11"/>
  <c r="F7" i="1" s="1"/>
  <c r="E42" i="11"/>
  <c r="F9" i="1" s="1"/>
  <c r="E44" i="11"/>
  <c r="F11" i="1" s="1"/>
  <c r="E46" i="11"/>
  <c r="F13" i="1" s="1"/>
  <c r="E3" i="11"/>
  <c r="E5" i="11"/>
  <c r="G5" i="11" s="1"/>
  <c r="E7" i="11"/>
  <c r="E9" i="11"/>
  <c r="E11" i="11"/>
  <c r="E13" i="11"/>
  <c r="E15" i="11"/>
  <c r="G15" i="11" s="1"/>
  <c r="E17" i="11"/>
  <c r="E19" i="11"/>
  <c r="E21" i="11"/>
  <c r="G21" i="11" s="1"/>
  <c r="E23" i="11"/>
  <c r="E25" i="11"/>
  <c r="E27" i="11"/>
  <c r="E29" i="11"/>
  <c r="G29" i="11" s="1"/>
  <c r="E31" i="11"/>
  <c r="E33" i="11"/>
  <c r="E35" i="11"/>
  <c r="E37" i="11"/>
  <c r="F4" i="1" s="1"/>
  <c r="E39" i="11"/>
  <c r="F6" i="1" s="1"/>
  <c r="E41" i="11"/>
  <c r="F8" i="1" s="1"/>
  <c r="E43" i="11"/>
  <c r="F10" i="1" s="1"/>
  <c r="E45" i="11"/>
  <c r="F12" i="1" s="1"/>
  <c r="E49" i="11"/>
  <c r="F16" i="1" s="1"/>
  <c r="E51" i="11"/>
  <c r="F18" i="1" s="1"/>
  <c r="E50" i="11"/>
  <c r="F17" i="1" s="1"/>
  <c r="G54" i="11"/>
  <c r="F21" i="1"/>
  <c r="G3" i="11"/>
  <c r="G7" i="11"/>
  <c r="G19" i="11"/>
  <c r="G23" i="11"/>
  <c r="G33" i="11"/>
  <c r="G37" i="11"/>
  <c r="G47" i="11"/>
  <c r="G49" i="11"/>
  <c r="E53" i="11"/>
  <c r="E55" i="11"/>
  <c r="G6" i="11"/>
  <c r="G9" i="11"/>
  <c r="G13" i="11"/>
  <c r="G25" i="11"/>
  <c r="G31" i="11"/>
  <c r="G43" i="11"/>
  <c r="G8" i="11"/>
  <c r="G18" i="11"/>
  <c r="G20" i="11"/>
  <c r="G26" i="11"/>
  <c r="G28" i="11"/>
  <c r="G34" i="11"/>
  <c r="G36" i="11"/>
  <c r="G42" i="11"/>
  <c r="G44" i="11"/>
  <c r="G50" i="11"/>
  <c r="E52" i="11"/>
  <c r="F21" i="10"/>
  <c r="F17" i="10"/>
  <c r="F13" i="10"/>
  <c r="F11" i="10"/>
  <c r="F7" i="10"/>
  <c r="F20" i="10"/>
  <c r="F18" i="10"/>
  <c r="F16" i="10"/>
  <c r="F14" i="10"/>
  <c r="F12" i="10"/>
  <c r="F10" i="10"/>
  <c r="F8" i="10"/>
  <c r="F6" i="10"/>
  <c r="F4" i="10"/>
  <c r="F19" i="10"/>
  <c r="F15" i="10"/>
  <c r="F9" i="10"/>
  <c r="F5" i="10"/>
  <c r="H3" i="11"/>
  <c r="H4" i="11"/>
  <c r="H7" i="11"/>
  <c r="H8" i="11"/>
  <c r="H11" i="11"/>
  <c r="H12" i="11"/>
  <c r="H15" i="11"/>
  <c r="H16" i="11"/>
  <c r="H19" i="11"/>
  <c r="H20" i="11"/>
  <c r="H23" i="11"/>
  <c r="H24" i="11"/>
  <c r="H27" i="11"/>
  <c r="H28" i="11"/>
  <c r="H31" i="11"/>
  <c r="H32" i="11"/>
  <c r="H35" i="11"/>
  <c r="H36" i="11"/>
  <c r="H39" i="11"/>
  <c r="H40" i="11"/>
  <c r="H43" i="11"/>
  <c r="H44" i="11"/>
  <c r="H47" i="11"/>
  <c r="H48" i="11"/>
  <c r="H51" i="11"/>
  <c r="H52" i="1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H54" i="11" l="1"/>
  <c r="H50" i="11"/>
  <c r="H46" i="11"/>
  <c r="H42" i="11"/>
  <c r="H38" i="11"/>
  <c r="H34" i="11"/>
  <c r="H30" i="11"/>
  <c r="H26" i="11"/>
  <c r="H22" i="11"/>
  <c r="H18" i="11"/>
  <c r="H14" i="11"/>
  <c r="H10" i="11"/>
  <c r="H6" i="11"/>
  <c r="G48" i="11"/>
  <c r="G40" i="11"/>
  <c r="G32" i="11"/>
  <c r="G24" i="11"/>
  <c r="G16" i="11"/>
  <c r="G39" i="11"/>
  <c r="G45" i="11"/>
  <c r="H53" i="11"/>
  <c r="H49" i="11"/>
  <c r="H45" i="11"/>
  <c r="H41" i="11"/>
  <c r="H37" i="11"/>
  <c r="H33" i="11"/>
  <c r="H29" i="11"/>
  <c r="H25" i="11"/>
  <c r="H21" i="11"/>
  <c r="H17" i="11"/>
  <c r="H13" i="11"/>
  <c r="H9" i="11"/>
  <c r="H5" i="11"/>
  <c r="G46" i="11"/>
  <c r="G38" i="11"/>
  <c r="G30" i="11"/>
  <c r="G22" i="11"/>
  <c r="G14" i="11"/>
  <c r="G35" i="11"/>
  <c r="G17" i="11"/>
  <c r="G51" i="11"/>
  <c r="G41" i="11"/>
  <c r="G27" i="11"/>
  <c r="G11" i="11"/>
  <c r="G53" i="11"/>
  <c r="F20" i="1"/>
  <c r="G52" i="11"/>
  <c r="F19" i="1"/>
  <c r="G55" i="11"/>
  <c r="F22" i="1"/>
  <c r="F24" i="1" s="1"/>
  <c r="C23" i="1"/>
  <c r="E24" i="1" l="1"/>
  <c r="E23" i="1"/>
  <c r="D24" i="1"/>
  <c r="D23" i="1"/>
  <c r="C22" i="1"/>
  <c r="G3" i="1" l="1"/>
  <c r="L22" i="1"/>
  <c r="C24" i="1"/>
  <c r="I3" i="1" l="1"/>
  <c r="O3" i="1"/>
  <c r="R3" i="1" s="1"/>
  <c r="O11" i="1"/>
  <c r="P11" i="1" s="1"/>
  <c r="O4" i="1"/>
  <c r="R4" i="1" s="1"/>
  <c r="I10" i="1"/>
  <c r="G18" i="1"/>
  <c r="O15" i="1"/>
  <c r="P15" i="1" s="1"/>
  <c r="O13" i="1"/>
  <c r="P13" i="1" s="1"/>
  <c r="O8" i="1"/>
  <c r="P8" i="1" s="1"/>
  <c r="O9" i="1"/>
  <c r="P9" i="1" s="1"/>
  <c r="O6" i="1"/>
  <c r="R6" i="1" s="1"/>
  <c r="O5" i="1"/>
  <c r="P5" i="1" s="1"/>
  <c r="O20" i="1"/>
  <c r="R20" i="1" s="1"/>
  <c r="O19" i="1"/>
  <c r="R19" i="1" s="1"/>
  <c r="O21" i="1"/>
  <c r="R21" i="1" s="1"/>
  <c r="O12" i="1"/>
  <c r="P12" i="1" s="1"/>
  <c r="O17" i="1"/>
  <c r="P17" i="1" s="1"/>
  <c r="I22" i="1"/>
  <c r="I14" i="1"/>
  <c r="O7" i="1"/>
  <c r="R7" i="1" s="1"/>
  <c r="O16" i="1"/>
  <c r="R16" i="1" s="1"/>
  <c r="H3" i="1"/>
  <c r="I19" i="1"/>
  <c r="P7" i="1" l="1"/>
  <c r="I13" i="1"/>
  <c r="R13" i="1"/>
  <c r="Q13" i="1" s="1"/>
  <c r="R15" i="1"/>
  <c r="Q15" i="1" s="1"/>
  <c r="I15" i="1"/>
  <c r="P3" i="1"/>
  <c r="Q3" i="1" s="1"/>
  <c r="G7" i="1"/>
  <c r="I5" i="1"/>
  <c r="R12" i="1"/>
  <c r="Q12" i="1" s="1"/>
  <c r="R5" i="1"/>
  <c r="I11" i="1"/>
  <c r="G15" i="1"/>
  <c r="H15" i="1" s="1"/>
  <c r="O10" i="1"/>
  <c r="R10" i="1" s="1"/>
  <c r="G17" i="1"/>
  <c r="G10" i="1"/>
  <c r="H10" i="1" s="1"/>
  <c r="R11" i="1"/>
  <c r="Q11" i="1" s="1"/>
  <c r="G11" i="1"/>
  <c r="I7" i="1"/>
  <c r="G12" i="1"/>
  <c r="P19" i="1"/>
  <c r="Q19" i="1" s="1"/>
  <c r="G22" i="1"/>
  <c r="H22" i="1" s="1"/>
  <c r="G16" i="1"/>
  <c r="G13" i="1"/>
  <c r="H13" i="1" s="1"/>
  <c r="I12" i="1"/>
  <c r="O22" i="1"/>
  <c r="R22" i="1" s="1"/>
  <c r="I16" i="1"/>
  <c r="G19" i="1"/>
  <c r="H19" i="1" s="1"/>
  <c r="G5" i="1"/>
  <c r="P16" i="1"/>
  <c r="Q16" i="1" s="1"/>
  <c r="P4" i="1"/>
  <c r="Q4" i="1" s="1"/>
  <c r="G9" i="1"/>
  <c r="G4" i="1"/>
  <c r="R8" i="1"/>
  <c r="Q8" i="1" s="1"/>
  <c r="G21" i="1"/>
  <c r="I9" i="1"/>
  <c r="I4" i="1"/>
  <c r="I21" i="1"/>
  <c r="P20" i="1"/>
  <c r="Q20" i="1" s="1"/>
  <c r="O18" i="1"/>
  <c r="I18" i="1"/>
  <c r="H18" i="1" s="1"/>
  <c r="G8" i="1"/>
  <c r="G20" i="1"/>
  <c r="R17" i="1"/>
  <c r="Q17" i="1" s="1"/>
  <c r="P21" i="1"/>
  <c r="Q21" i="1" s="1"/>
  <c r="G14" i="1"/>
  <c r="H14" i="1" s="1"/>
  <c r="R9" i="1"/>
  <c r="Q9" i="1" s="1"/>
  <c r="G6" i="1"/>
  <c r="I6" i="1"/>
  <c r="I17" i="1"/>
  <c r="I8" i="1"/>
  <c r="I20" i="1"/>
  <c r="O14" i="1"/>
  <c r="R14" i="1" s="1"/>
  <c r="P6" i="1"/>
  <c r="Q6" i="1" s="1"/>
  <c r="Q5" i="1"/>
  <c r="Q7" i="1"/>
  <c r="H17" i="1" l="1"/>
  <c r="H5" i="1"/>
  <c r="H12" i="1"/>
  <c r="H11" i="1"/>
  <c r="H8" i="1"/>
  <c r="H7" i="1"/>
  <c r="H16" i="1"/>
  <c r="H9" i="1"/>
  <c r="P10" i="1"/>
  <c r="Q10" i="1" s="1"/>
  <c r="P14" i="1"/>
  <c r="Q14" i="1" s="1"/>
  <c r="H4" i="1"/>
  <c r="P22" i="1"/>
  <c r="Q22" i="1" s="1"/>
  <c r="H21" i="1"/>
  <c r="H20" i="1"/>
  <c r="P18" i="1"/>
  <c r="R18" i="1"/>
  <c r="H6" i="1"/>
  <c r="Q18" i="1" l="1"/>
</calcChain>
</file>

<file path=xl/sharedStrings.xml><?xml version="1.0" encoding="utf-8"?>
<sst xmlns="http://schemas.openxmlformats.org/spreadsheetml/2006/main" count="225" uniqueCount="78">
  <si>
    <t>ln(y0)</t>
  </si>
  <si>
    <t>g=(Yt/Yo)/t-1</t>
  </si>
  <si>
    <t>x</t>
  </si>
  <si>
    <t>y</t>
  </si>
  <si>
    <t>Korea</t>
  </si>
  <si>
    <t>Singapore</t>
  </si>
  <si>
    <t>Taiwan</t>
  </si>
  <si>
    <t>Czech Republic</t>
  </si>
  <si>
    <t>GDP per capita (constant 2015 US$</t>
  </si>
  <si>
    <t>Ratio</t>
  </si>
  <si>
    <t>GDP per capita constant 2021 NTW$ 連鎖實質值(2021為參考_新臺幣百萬元)</t>
  </si>
  <si>
    <t>population</t>
  </si>
  <si>
    <t>西元</t>
  </si>
  <si>
    <t>exchange rate</t>
  </si>
  <si>
    <t>unit change</t>
  </si>
  <si>
    <t>směrodatná odchylka</t>
  </si>
  <si>
    <t>variační koeficient</t>
  </si>
  <si>
    <t>průměr</t>
  </si>
  <si>
    <t>HDP per capita</t>
  </si>
  <si>
    <t>ln(HDP per capita)</t>
  </si>
  <si>
    <t>t - čas</t>
  </si>
  <si>
    <t>ln(bazických indexů)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</si>
  <si>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</si>
  <si>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</si>
  <si>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</si>
  <si>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</si>
  <si>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</si>
  <si>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</si>
  <si>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</si>
  <si>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</si>
  <si>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</si>
  <si>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</si>
  <si>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</si>
  <si>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</si>
  <si>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</si>
  <si>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</si>
  <si>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</si>
  <si>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</si>
  <si>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</si>
  <si>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</si>
  <si>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</si>
  <si>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</si>
  <si>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</si>
  <si>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</si>
  <si>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</si>
  <si>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</si>
  <si>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X 變數 1</t>
  </si>
  <si>
    <t>X 變數 2</t>
  </si>
  <si>
    <t>X 變數 3</t>
  </si>
  <si>
    <t>X 變數 4</t>
  </si>
  <si>
    <t>殘差輸出</t>
  </si>
  <si>
    <t>觀察值</t>
  </si>
  <si>
    <t>預測 Y</t>
  </si>
  <si>
    <t>S-S model HDP per capita</t>
  </si>
  <si>
    <t>Očekávaná Y</t>
  </si>
  <si>
    <t>ln(Lt/L0)=y</t>
  </si>
  <si>
    <r>
      <t>l = L</t>
    </r>
    <r>
      <rPr>
        <b/>
        <vertAlign val="subscript"/>
        <sz val="13"/>
        <color rgb="FFFF0000"/>
        <rFont val="Aptos Narrow"/>
        <family val="2"/>
        <charset val="238"/>
        <scheme val="minor"/>
      </rPr>
      <t>0</t>
    </r>
    <r>
      <rPr>
        <b/>
        <sz val="13"/>
        <color rgb="FFFF0000"/>
        <rFont val="Aptos Narrow"/>
        <family val="2"/>
        <charset val="238"/>
        <scheme val="minor"/>
      </rPr>
      <t>·e</t>
    </r>
    <r>
      <rPr>
        <b/>
        <vertAlign val="superscript"/>
        <sz val="13"/>
        <color rgb="FFFF0000"/>
        <rFont val="Aptos Narrow"/>
        <family val="2"/>
        <charset val="238"/>
        <scheme val="minor"/>
      </rPr>
      <t>gt</t>
    </r>
  </si>
  <si>
    <t xml:space="preserve"> Rezidua Taiwan1971-2024</t>
  </si>
  <si>
    <t>Rezidua Singapore</t>
  </si>
  <si>
    <t>Rezidua CZ</t>
  </si>
  <si>
    <t xml:space="preserve"> Rezidua Taiwan 2005-2024</t>
  </si>
  <si>
    <t>Country</t>
  </si>
  <si>
    <t>Czech Rep.</t>
  </si>
  <si>
    <t xml:space="preserve">2005 GDP per capita </t>
  </si>
  <si>
    <t>SS模型 方程式</t>
  </si>
  <si>
    <t>y = 15148e0.0176x</t>
  </si>
  <si>
    <t>y = 41798e0.0275x</t>
  </si>
  <si>
    <t>y = 16600e0.0326x</t>
  </si>
  <si>
    <t>g 科技成長 (e指數)</t>
  </si>
  <si>
    <t>SS模型 R²</t>
  </si>
  <si>
    <t>R² = 0.969</t>
  </si>
  <si>
    <t>R² = 0.988</t>
  </si>
  <si>
    <t>R² = 0.996</t>
  </si>
  <si>
    <t>二次式 方程式</t>
  </si>
  <si>
    <t>$y = 6.93t^2 + 135.52t + 16021.58$</t>
  </si>
  <si>
    <t>$y = 1.08t^2 + 1419.83t + 41509.49$</t>
  </si>
  <si>
    <t>$y = 18.17t^2 + 362.72t + 17468.81$</t>
  </si>
  <si>
    <t>二次式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</si>
</sst>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000"/>
    <numFmt numFmtId="166" formatCode="0.0000"/>
    <numFmt numFmtId="167" formatCode="###,###,##0"/>
  </numFmts>
  <fonts count="17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u/>
      <sz val="10"/>
      <color theme="10"/>
      <name val="Tahoma"/>
      <family val="2"/>
    </font>
    <font>
      <b/>
      <sz val="12"/>
      <color theme="1"/>
      <name val="Aptos Narrow"/>
      <family val="2"/>
      <charset val="238"/>
      <scheme val="minor"/>
    </font>
    <font>
      <b/>
      <sz val="13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10"/>
      <color rgb="FFFF0000"/>
      <name val="Tahoma"/>
      <family val="2"/>
    </font>
    <font>
      <b/>
      <vertAlign val="subscript"/>
      <sz val="13"/>
      <color rgb="FFFF0000"/>
      <name val="Aptos Narrow"/>
      <family val="2"/>
      <charset val="238"/>
      <scheme val="minor"/>
    </font>
    <font>
      <b/>
      <sz val="13"/>
      <color rgb="FFFF0000"/>
      <name val="Aptos Narrow"/>
      <family val="2"/>
      <charset val="238"/>
      <scheme val="minor"/>
    </font>
    <font>
      <b/>
      <vertAlign val="superscript"/>
      <sz val="13"/>
      <color rgb="FFFF0000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6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4" fillId="0" borderId="0" xfId="3"/>
    <xf numFmtId="0" fontId="5" fillId="2" borderId="3" xfId="3" applyFont="1" applyFill="1" applyBorder="1" applyAlignment="1">
      <alignment horizontal="center" vertical="top"/>
    </xf>
    <xf numFmtId="0" fontId="5" fillId="2" borderId="4" xfId="3" applyFont="1" applyFill="1" applyBorder="1" applyAlignment="1">
      <alignment horizontal="center" vertical="top"/>
    </xf>
    <xf numFmtId="0" fontId="6" fillId="2" borderId="2" xfId="3" applyFont="1" applyFill="1" applyBorder="1" applyAlignment="1">
      <alignment horizontal="center" vertical="top" wrapText="1"/>
    </xf>
    <xf numFmtId="0" fontId="5" fillId="0" borderId="3" xfId="3" applyFont="1" applyBorder="1" applyAlignment="1">
      <alignment vertical="top"/>
    </xf>
    <xf numFmtId="0" fontId="5" fillId="0" borderId="4" xfId="3" applyFont="1" applyBorder="1" applyAlignment="1">
      <alignment vertical="top"/>
    </xf>
    <xf numFmtId="167" fontId="5" fillId="0" borderId="4" xfId="3" applyNumberFormat="1" applyFont="1" applyBorder="1" applyAlignment="1">
      <alignment vertical="top"/>
    </xf>
    <xf numFmtId="2" fontId="4" fillId="0" borderId="0" xfId="3" applyNumberFormat="1"/>
    <xf numFmtId="0" fontId="5" fillId="3" borderId="3" xfId="3" applyFont="1" applyFill="1" applyBorder="1" applyAlignment="1">
      <alignment vertical="top"/>
    </xf>
    <xf numFmtId="0" fontId="5" fillId="3" borderId="4" xfId="3" applyFont="1" applyFill="1" applyBorder="1" applyAlignment="1">
      <alignment vertical="top"/>
    </xf>
    <xf numFmtId="167" fontId="5" fillId="3" borderId="4" xfId="3" applyNumberFormat="1" applyFont="1" applyFill="1" applyBorder="1" applyAlignment="1">
      <alignment vertical="top"/>
    </xf>
    <xf numFmtId="0" fontId="4" fillId="3" borderId="0" xfId="3" applyFill="1"/>
    <xf numFmtId="0" fontId="0" fillId="0" borderId="1" xfId="0" applyBorder="1"/>
    <xf numFmtId="0" fontId="0" fillId="0" borderId="1" xfId="0" applyBorder="1" applyAlignment="1">
      <alignment horizontal="left" vertical="top"/>
    </xf>
    <xf numFmtId="164" fontId="0" fillId="0" borderId="1" xfId="0" applyNumberFormat="1" applyBorder="1"/>
    <xf numFmtId="166" fontId="0" fillId="0" borderId="1" xfId="0" applyNumberFormat="1" applyBorder="1"/>
    <xf numFmtId="0" fontId="0" fillId="3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9" fontId="4" fillId="0" borderId="0" xfId="1" applyFont="1"/>
    <xf numFmtId="164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4" fontId="3" fillId="0" borderId="1" xfId="2" applyNumberFormat="1" applyBorder="1"/>
    <xf numFmtId="2" fontId="4" fillId="0" borderId="1" xfId="3" applyNumberFormat="1" applyBorder="1"/>
    <xf numFmtId="0" fontId="0" fillId="3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4" fillId="0" borderId="1" xfId="3" applyNumberFormat="1" applyBorder="1"/>
    <xf numFmtId="2" fontId="0" fillId="3" borderId="1" xfId="0" applyNumberFormat="1" applyFill="1" applyBorder="1"/>
    <xf numFmtId="9" fontId="4" fillId="3" borderId="1" xfId="1" applyFont="1" applyFill="1" applyBorder="1"/>
    <xf numFmtId="4" fontId="0" fillId="0" borderId="1" xfId="0" applyNumberFormat="1" applyBorder="1" applyAlignment="1">
      <alignment horizontal="center"/>
    </xf>
    <xf numFmtId="10" fontId="4" fillId="3" borderId="1" xfId="1" applyNumberFormat="1" applyFont="1" applyFill="1" applyBorder="1"/>
    <xf numFmtId="166" fontId="0" fillId="3" borderId="1" xfId="0" applyNumberFormat="1" applyFill="1" applyBorder="1"/>
    <xf numFmtId="166" fontId="4" fillId="0" borderId="1" xfId="3" applyNumberFormat="1" applyBorder="1"/>
    <xf numFmtId="166" fontId="0" fillId="0" borderId="1" xfId="0" applyNumberFormat="1" applyBorder="1" applyAlignment="1">
      <alignment horizontal="center"/>
    </xf>
    <xf numFmtId="0" fontId="5" fillId="2" borderId="1" xfId="3" applyFont="1" applyFill="1" applyBorder="1" applyAlignment="1">
      <alignment horizontal="center" vertical="top"/>
    </xf>
    <xf numFmtId="3" fontId="4" fillId="0" borderId="1" xfId="3" applyNumberFormat="1" applyBorder="1"/>
    <xf numFmtId="3" fontId="4" fillId="3" borderId="1" xfId="3" applyNumberFormat="1" applyFill="1" applyBorder="1"/>
    <xf numFmtId="2" fontId="4" fillId="3" borderId="1" xfId="3" applyNumberFormat="1" applyFill="1" applyBorder="1"/>
    <xf numFmtId="0" fontId="9" fillId="0" borderId="7" xfId="0" applyFont="1" applyBorder="1" applyAlignment="1">
      <alignment horizontal="center"/>
    </xf>
    <xf numFmtId="165" fontId="4" fillId="0" borderId="0" xfId="3" applyNumberFormat="1"/>
    <xf numFmtId="0" fontId="8" fillId="0" borderId="2" xfId="0" applyFont="1" applyBorder="1" applyAlignment="1">
      <alignment horizontal="center"/>
    </xf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Continuous"/>
    </xf>
    <xf numFmtId="0" fontId="0" fillId="0" borderId="2" xfId="0" applyBorder="1" applyAlignment="1">
      <alignment horizontal="center"/>
    </xf>
    <xf numFmtId="0" fontId="4" fillId="3" borderId="1" xfId="3" applyFill="1" applyBorder="1" applyAlignment="1">
      <alignment horizontal="center"/>
    </xf>
    <xf numFmtId="0" fontId="11" fillId="3" borderId="1" xfId="3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4" borderId="3" xfId="3" applyFont="1" applyFill="1" applyBorder="1" applyAlignment="1">
      <alignment vertical="top"/>
    </xf>
    <xf numFmtId="0" fontId="5" fillId="4" borderId="4" xfId="3" applyFont="1" applyFill="1" applyBorder="1" applyAlignment="1">
      <alignment vertical="top"/>
    </xf>
    <xf numFmtId="167" fontId="5" fillId="4" borderId="4" xfId="3" applyNumberFormat="1" applyFont="1" applyFill="1" applyBorder="1" applyAlignment="1">
      <alignment vertical="top"/>
    </xf>
    <xf numFmtId="2" fontId="4" fillId="4" borderId="1" xfId="3" applyNumberFormat="1" applyFill="1" applyBorder="1"/>
    <xf numFmtId="3" fontId="4" fillId="4" borderId="1" xfId="3" applyNumberFormat="1" applyFill="1" applyBorder="1"/>
    <xf numFmtId="165" fontId="4" fillId="4" borderId="0" xfId="3" applyNumberFormat="1" applyFill="1"/>
    <xf numFmtId="2" fontId="4" fillId="4" borderId="0" xfId="3" applyNumberFormat="1" applyFill="1"/>
    <xf numFmtId="0" fontId="4" fillId="4" borderId="0" xfId="3" applyFill="1"/>
    <xf numFmtId="0" fontId="0" fillId="4" borderId="0" xfId="0" applyFill="1"/>
    <xf numFmtId="0" fontId="4" fillId="0" borderId="1" xfId="3" applyBorder="1"/>
    <xf numFmtId="0" fontId="6" fillId="2" borderId="1" xfId="3" applyFont="1" applyFill="1" applyBorder="1" applyAlignment="1">
      <alignment horizontal="center" vertical="top" wrapText="1"/>
    </xf>
    <xf numFmtId="165" fontId="4" fillId="0" borderId="1" xfId="3" applyNumberFormat="1" applyBorder="1"/>
    <xf numFmtId="0" fontId="15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5">
    <cellStyle name="一般" xfId="0" builtinId="0"/>
    <cellStyle name="一般 2" xfId="2" xr:uid="{E9DB6C29-696B-4615-8FCA-1289C9097D4F}"/>
    <cellStyle name="一般 2 2" xfId="3" xr:uid="{70BD10F0-6FD5-45BD-B2BE-8532BC8DF9B2}"/>
    <cellStyle name="百分比" xfId="1" builtinId="5"/>
    <cellStyle name="超連結 2" xfId="4" xr:uid="{F794E55A-46AB-4AC7-ACC8-2F5B8A3FEC41}"/>
  </cellStyles>
  <dxfs count="0"/>
  <tableStyles count="0" defaultTableStyle="TableStyleMedium2" defaultPivotStyle="PivotStyleLight16"/>
  <colors>
    <mruColors>
      <color rgb="FFFF0505"/>
      <color rgb="FFFF191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Srovnání S-S modelu vývoje HDP per capita s polynomickým modelem</a:t>
            </a:r>
          </a:p>
        </c:rich>
      </c:tx>
      <c:layout>
        <c:manualLayout>
          <c:xMode val="edge"/>
          <c:yMode val="edge"/>
          <c:x val="0.16323759118623815"/>
          <c:y val="2.735386145670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'Czech Republic'!$D$1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6846483946132844"/>
                  <c:y val="0.225680126254616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4925" cap="rnd">
                <a:solidFill>
                  <a:srgbClr val="00B0F0"/>
                </a:solidFill>
                <a:prstDash val="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6823154416458699E-2"/>
                  <c:y val="0.19465630470282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rPr>
                      <a:t> polynomický model</a:t>
                    </a: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400">
                        <a:solidFill>
                          <a:srgbClr val="00B0F0"/>
                        </a:solidFill>
                      </a:defRPr>
                    </a:pPr>
                    <a:r>
                      <a:rPr lang="en-US"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rPr>
                      <a:t>y = 6.932x2 + 135.52x + 16022</a:t>
                    </a:r>
                    <a:br>
                      <a:rPr lang="en-US"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rPr>
                      <a:t>R² = 0.8851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'Czech Republic'!$B$3:$B$21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'Czech Republic'!$D$3:$D$21</c:f>
              <c:numCache>
                <c:formatCode>0.00</c:formatCode>
                <c:ptCount val="19"/>
                <c:pt idx="0">
                  <c:v>16107.304250268831</c:v>
                </c:pt>
                <c:pt idx="1">
                  <c:v>16892.54285497405</c:v>
                </c:pt>
                <c:pt idx="2">
                  <c:v>17190.64703332894</c:v>
                </c:pt>
                <c:pt idx="3">
                  <c:v>16272.808476671911</c:v>
                </c:pt>
                <c:pt idx="4">
                  <c:v>16665.9317825137</c:v>
                </c:pt>
                <c:pt idx="5">
                  <c:v>16926.284667443535</c:v>
                </c:pt>
                <c:pt idx="6">
                  <c:v>16772.353922332768</c:v>
                </c:pt>
                <c:pt idx="7">
                  <c:v>16759.7808635642</c:v>
                </c:pt>
                <c:pt idx="8">
                  <c:v>17118.042557157849</c:v>
                </c:pt>
                <c:pt idx="9">
                  <c:v>17931.598767076761</c:v>
                </c:pt>
                <c:pt idx="10">
                  <c:v>18359.097810390373</c:v>
                </c:pt>
                <c:pt idx="11">
                  <c:v>19257.693068091088</c:v>
                </c:pt>
                <c:pt idx="12">
                  <c:v>19736.629526128501</c:v>
                </c:pt>
                <c:pt idx="13">
                  <c:v>20360.059922181354</c:v>
                </c:pt>
                <c:pt idx="14">
                  <c:v>19233.146954982902</c:v>
                </c:pt>
                <c:pt idx="15">
                  <c:v>20373.878304342365</c:v>
                </c:pt>
                <c:pt idx="16">
                  <c:v>20627.348651010972</c:v>
                </c:pt>
                <c:pt idx="17">
                  <c:v>20251.748551977889</c:v>
                </c:pt>
                <c:pt idx="18">
                  <c:v>20444.543067636238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D-433F-ADD5-BA68F09C25B0}"/>
            </c:ext>
          </c:extLst>
        </c:ser>
        <c:ser>
          <c:idx val="2"/>
          <c:order val="2"/>
          <c:tx>
            <c:strRef>
              <c:f>'Czech Republic'!$G$1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2628848673806277"/>
                  <c:y val="-1.4966889491966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cs-CZ"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'Czech Republic'!$B$3:$B$21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'Czech Republic'!$G$3:$G$21</c:f>
              <c:numCache>
                <c:formatCode>0.00</c:formatCode>
                <c:ptCount val="19"/>
                <c:pt idx="0">
                  <c:v>15416.687578896324</c:v>
                </c:pt>
                <c:pt idx="1">
                  <c:v>15690.429535497431</c:v>
                </c:pt>
                <c:pt idx="2">
                  <c:v>15969.03211202226</c:v>
                </c:pt>
                <c:pt idx="3">
                  <c:v>16252.581614663462</c:v>
                </c:pt>
                <c:pt idx="4">
                  <c:v>16541.165882084653</c:v>
                </c:pt>
                <c:pt idx="5">
                  <c:v>16834.87431263128</c:v>
                </c:pt>
                <c:pt idx="6">
                  <c:v>17133.797892024675</c:v>
                </c:pt>
                <c:pt idx="7">
                  <c:v>17438.029221547829</c:v>
                </c:pt>
                <c:pt idx="8">
                  <c:v>17747.662546731652</c:v>
                </c:pt>
                <c:pt idx="9">
                  <c:v>18062.79378655057</c:v>
                </c:pt>
                <c:pt idx="10">
                  <c:v>18383.520563136557</c:v>
                </c:pt>
                <c:pt idx="11">
                  <c:v>18709.94223202076</c:v>
                </c:pt>
                <c:pt idx="12">
                  <c:v>19042.159912912084</c:v>
                </c:pt>
                <c:pt idx="13">
                  <c:v>19380.276521022322</c:v>
                </c:pt>
                <c:pt idx="14">
                  <c:v>19724.39679894748</c:v>
                </c:pt>
                <c:pt idx="15">
                  <c:v>20074.627349115188</c:v>
                </c:pt>
                <c:pt idx="16">
                  <c:v>20431.076666808262</c:v>
                </c:pt>
                <c:pt idx="17">
                  <c:v>20793.855173774653</c:v>
                </c:pt>
                <c:pt idx="18">
                  <c:v>21163.075252434155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D-433F-ADD5-BA68F09C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770847"/>
        <c:axId val="1879766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'Czech Republic'!$B$3:$B$21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'Czech Republic'!$B$3:$B$21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AD-433F-ADD5-BA68F09C25B0}"/>
                  </c:ext>
                </c:extLst>
              </c15:ser>
            </c15:filteredLineSeries>
          </c:ext>
        </c:extLst>
      </c:lineChart>
      <c:catAx>
        <c:axId val="18797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66527"/>
        <c:crosses val="autoZero"/>
        <c:auto val="1"/>
        <c:lblAlgn val="ctr"/>
        <c:lblOffset val="100"/>
        <c:noMultiLvlLbl val="0"/>
      </c:catAx>
      <c:valAx>
        <c:axId val="18797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0" i="0" u="none" strike="noStrike" kern="1200" baseline="0">
                <a:solidFill>
                  <a:sysClr val="windowText" lastClr="000000"/>
                </a:solidFill>
              </a:rPr>
              <a:t>Odhad parametrů S-S modelů HDP per capita </a:t>
            </a:r>
            <a:endParaRPr lang="zh-TW" altLang="en-US" sz="1800" b="1" i="0" u="none" strike="noStrike" kern="120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46944481276996"/>
          <c:y val="6.589351607801792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57150"/>
          </c:spPr>
          <c:marker>
            <c:symbol val="none"/>
          </c:marker>
          <c:cat>
            <c:numRef>
              <c:f>'Czech Republic'!$C$3:$C$21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'Czech Republic'!$F$3:$F$21</c:f>
              <c:numCache>
                <c:formatCode>0.0000000</c:formatCode>
                <c:ptCount val="19"/>
                <c:pt idx="0">
                  <c:v>6.1422728489193015E-2</c:v>
                </c:pt>
                <c:pt idx="1">
                  <c:v>0.10902215260368303</c:v>
                </c:pt>
                <c:pt idx="2">
                  <c:v>0.12651533802653911</c:v>
                </c:pt>
                <c:pt idx="3">
                  <c:v>7.164540245604932E-2</c:v>
                </c:pt>
                <c:pt idx="4">
                  <c:v>9.551650197830526E-2</c:v>
                </c:pt>
                <c:pt idx="5">
                  <c:v>0.1110175986991</c:v>
                </c:pt>
                <c:pt idx="6">
                  <c:v>0.10188181030092756</c:v>
                </c:pt>
                <c:pt idx="7">
                  <c:v>0.10113189924169619</c:v>
                </c:pt>
                <c:pt idx="8">
                  <c:v>0.12228290680162926</c:v>
                </c:pt>
                <c:pt idx="9">
                  <c:v>0.16871433003577002</c:v>
                </c:pt>
                <c:pt idx="10">
                  <c:v>0.19227512435693783</c:v>
                </c:pt>
                <c:pt idx="11">
                  <c:v>0.24006050003944701</c:v>
                </c:pt>
                <c:pt idx="12">
                  <c:v>0.26462615530938416</c:v>
                </c:pt>
                <c:pt idx="13">
                  <c:v>0.29572501405024426</c:v>
                </c:pt>
                <c:pt idx="14">
                  <c:v>0.23878507365639448</c:v>
                </c:pt>
                <c:pt idx="15">
                  <c:v>0.29640348430343921</c:v>
                </c:pt>
                <c:pt idx="16">
                  <c:v>0.30876767896557883</c:v>
                </c:pt>
                <c:pt idx="17">
                  <c:v>0.29039101731014855</c:v>
                </c:pt>
                <c:pt idx="18">
                  <c:v>0.29986588346117293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7-4AC0-95DF-A7404A3AE9BF}"/>
            </c:ext>
          </c:extLst>
        </c:ser>
        <c:ser>
          <c:idx val="1"/>
          <c:order val="1"/>
          <c:tx>
            <c:strRef>
              <c:f>'Czech Republic'!$C$46</c:f>
              <c:strCache>
                <c:ptCount val="1"/>
                <c:pt idx="0">
                  <c:v>Očekávaná Y</c:v>
                </c:pt>
              </c:strCache>
            </c:strRef>
          </c:tx>
          <c:spPr>
            <a:ln w="76200"/>
          </c:spPr>
          <c:marker>
            <c:symbol val="none"/>
          </c:marker>
          <c:trendline>
            <c:trendlineType val="linear"/>
            <c:dispRSqr val="0"/>
            <c:dispEq val="1"/>
            <c:trendlineLbl>
              <c:layout>
                <c:manualLayout>
                  <c:x val="-0.11008627280601033"/>
                  <c:y val="0.3103613662683308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</c:trendlineLbl>
          </c:trendline>
          <c:cat>
            <c:numRef>
              <c:f>'Czech Republic'!$C$3:$C$21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'Czech Republic'!$C$47:$C$65</c:f>
              <c:numCache>
                <c:formatCode>General</c:formatCode>
                <c:ptCount val="19"/>
                <c:pt idx="0">
                  <c:v>1.7600410997929052E-2</c:v>
                </c:pt>
                <c:pt idx="1">
                  <c:v>3.5200821995858105E-2</c:v>
                </c:pt>
                <c:pt idx="2">
                  <c:v>5.2801232993787153E-2</c:v>
                </c:pt>
                <c:pt idx="3">
                  <c:v>7.0401643991716209E-2</c:v>
                </c:pt>
                <c:pt idx="4">
                  <c:v>8.8002054989645265E-2</c:v>
                </c:pt>
                <c:pt idx="5">
                  <c:v>0.10560246598757431</c:v>
                </c:pt>
                <c:pt idx="6">
                  <c:v>0.12320287698550336</c:v>
                </c:pt>
                <c:pt idx="7">
                  <c:v>0.14080328798343242</c:v>
                </c:pt>
                <c:pt idx="8">
                  <c:v>0.15840369898136147</c:v>
                </c:pt>
                <c:pt idx="9">
                  <c:v>0.17600410997929053</c:v>
                </c:pt>
                <c:pt idx="10">
                  <c:v>0.19360452097721959</c:v>
                </c:pt>
                <c:pt idx="11">
                  <c:v>0.21120493197514861</c:v>
                </c:pt>
                <c:pt idx="12">
                  <c:v>0.22880534297307767</c:v>
                </c:pt>
                <c:pt idx="13">
                  <c:v>0.24640575397100672</c:v>
                </c:pt>
                <c:pt idx="14">
                  <c:v>0.26400616496893581</c:v>
                </c:pt>
                <c:pt idx="15">
                  <c:v>0.28160657596686484</c:v>
                </c:pt>
                <c:pt idx="16">
                  <c:v>0.29920698696479386</c:v>
                </c:pt>
                <c:pt idx="17">
                  <c:v>0.31680739796272295</c:v>
                </c:pt>
                <c:pt idx="18">
                  <c:v>0.33440780896065198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7-4AC0-95DF-A7404A3AE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560783"/>
        <c:axId val="424561263"/>
      </c:lineChart>
      <c:catAx>
        <c:axId val="424560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4561263"/>
        <c:crosses val="autoZero"/>
        <c:auto val="1"/>
        <c:lblAlgn val="ctr"/>
        <c:lblOffset val="100"/>
        <c:noMultiLvlLbl val="0"/>
      </c:catAx>
      <c:valAx>
        <c:axId val="424561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TW"/>
                  <a:t>Y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4245607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Srovnání S-S modelu vývoje HDP per capita s polynomickým modelem</a:t>
            </a:r>
          </a:p>
        </c:rich>
      </c:tx>
      <c:layout>
        <c:manualLayout>
          <c:xMode val="edge"/>
          <c:yMode val="edge"/>
          <c:x val="0.1598087631933944"/>
          <c:y val="2.735386145670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Taiwan!$D$1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4789187150426601"/>
                  <c:y val="0.312281041835547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4925" cap="rnd">
                <a:solidFill>
                  <a:srgbClr val="00B0F0"/>
                </a:solidFill>
                <a:prstDash val="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4716805131470578E-2"/>
                  <c:y val="0.279899513230496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Taiwan!$D$3:$D$21</c:f>
              <c:numCache>
                <c:formatCode>0.00</c:formatCode>
                <c:ptCount val="19"/>
                <c:pt idx="0">
                  <c:v>17485.929393164854</c:v>
                </c:pt>
                <c:pt idx="1">
                  <c:v>18607.105086960299</c:v>
                </c:pt>
                <c:pt idx="2">
                  <c:v>18690.276499000625</c:v>
                </c:pt>
                <c:pt idx="3">
                  <c:v>18324.376157791125</c:v>
                </c:pt>
                <c:pt idx="4">
                  <c:v>20147.160064102143</c:v>
                </c:pt>
                <c:pt idx="5">
                  <c:v>20839.839608477254</c:v>
                </c:pt>
                <c:pt idx="6">
                  <c:v>21232.321947670272</c:v>
                </c:pt>
                <c:pt idx="7">
                  <c:v>21690.285701619163</c:v>
                </c:pt>
                <c:pt idx="8">
                  <c:v>22656.566702057029</c:v>
                </c:pt>
                <c:pt idx="9">
                  <c:v>22930.448534902185</c:v>
                </c:pt>
                <c:pt idx="10">
                  <c:v>23374.064195149658</c:v>
                </c:pt>
                <c:pt idx="11">
                  <c:v>24189.243527694911</c:v>
                </c:pt>
                <c:pt idx="12">
                  <c:v>24866.134308006269</c:v>
                </c:pt>
                <c:pt idx="13">
                  <c:v>25608.551955549003</c:v>
                </c:pt>
                <c:pt idx="14">
                  <c:v>26499.985109749879</c:v>
                </c:pt>
                <c:pt idx="15">
                  <c:v>28418.132385268702</c:v>
                </c:pt>
                <c:pt idx="16">
                  <c:v>29366.309937499183</c:v>
                </c:pt>
                <c:pt idx="17">
                  <c:v>29656.229326596149</c:v>
                </c:pt>
                <c:pt idx="18">
                  <c:v>31127.84926258065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9C-495E-918D-208700EF353E}"/>
            </c:ext>
          </c:extLst>
        </c:ser>
        <c:ser>
          <c:idx val="2"/>
          <c:order val="2"/>
          <c:tx>
            <c:strRef>
              <c:f>Taiwan!$G$1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640055946593439"/>
                  <c:y val="4.9510489236637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cs-CZ"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Taiwan!$G$3:$G$21</c:f>
              <c:numCache>
                <c:formatCode>0.00</c:formatCode>
                <c:ptCount val="19"/>
                <c:pt idx="0">
                  <c:v>17150.508383775956</c:v>
                </c:pt>
                <c:pt idx="1">
                  <c:v>17719.149751196324</c:v>
                </c:pt>
                <c:pt idx="2">
                  <c:v>18306.644962334089</c:v>
                </c:pt>
                <c:pt idx="3">
                  <c:v>18913.619134254757</c:v>
                </c:pt>
                <c:pt idx="4">
                  <c:v>19540.718110372851</c:v>
                </c:pt>
                <c:pt idx="5">
                  <c:v>20188.609147653693</c:v>
                </c:pt>
                <c:pt idx="6">
                  <c:v>20857.981626599976</c:v>
                </c:pt>
                <c:pt idx="7">
                  <c:v>21549.547784778631</c:v>
                </c:pt>
                <c:pt idx="8">
                  <c:v>22264.043474668448</c:v>
                </c:pt>
                <c:pt idx="9">
                  <c:v>23002.228946634885</c:v>
                </c:pt>
                <c:pt idx="10">
                  <c:v>23764.889657865129</c:v>
                </c:pt>
                <c:pt idx="11">
                  <c:v>24552.837108124175</c:v>
                </c:pt>
                <c:pt idx="12">
                  <c:v>25366.909703221172</c:v>
                </c:pt>
                <c:pt idx="13">
                  <c:v>26207.973647104845</c:v>
                </c:pt>
                <c:pt idx="14">
                  <c:v>27076.923863537184</c:v>
                </c:pt>
                <c:pt idx="15">
                  <c:v>27974.68494832603</c:v>
                </c:pt>
                <c:pt idx="16">
                  <c:v>28902.212153129967</c:v>
                </c:pt>
                <c:pt idx="17">
                  <c:v>29860.492401882042</c:v>
                </c:pt>
                <c:pt idx="18">
                  <c:v>30850.545340914123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9C-495E-918D-208700EF3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770847"/>
        <c:axId val="1879766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Taiwan!$B$3:$B$21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Taiwan!$B$3:$B$21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99C-495E-918D-208700EF353E}"/>
                  </c:ext>
                </c:extLst>
              </c15:ser>
            </c15:filteredLineSeries>
          </c:ext>
        </c:extLst>
      </c:lineChart>
      <c:catAx>
        <c:axId val="18797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66527"/>
        <c:crosses val="autoZero"/>
        <c:auto val="1"/>
        <c:lblAlgn val="ctr"/>
        <c:lblOffset val="100"/>
        <c:noMultiLvlLbl val="0"/>
      </c:catAx>
      <c:valAx>
        <c:axId val="18797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0" i="0" u="none" strike="noStrike" kern="1200" baseline="0">
                <a:solidFill>
                  <a:sysClr val="windowText" lastClr="000000"/>
                </a:solidFill>
              </a:rPr>
              <a:t>Odhad parametrů S-S modelů HDP per capita </a:t>
            </a:r>
            <a:endParaRPr lang="zh-TW" altLang="en-US" sz="1800" b="1" i="0" u="none" strike="noStrike" kern="120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111150294676083"/>
          <c:y val="6.589351607801792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57150"/>
          </c:spPr>
          <c:marker>
            <c:symbol val="none"/>
          </c:marker>
          <c:cat>
            <c:numRef>
              <c:f>Taiwan!$C$3:$C$21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Taiwan!$F$3:$F$21</c:f>
              <c:numCache>
                <c:formatCode>0.0000000</c:formatCode>
                <c:ptCount val="19"/>
                <c:pt idx="0">
                  <c:v>5.198685134863109E-2</c:v>
                </c:pt>
                <c:pt idx="1">
                  <c:v>0.11413383020535225</c:v>
                </c:pt>
                <c:pt idx="2">
                  <c:v>0.11859374381676532</c:v>
                </c:pt>
                <c:pt idx="3">
                  <c:v>9.8822532466891364E-2</c:v>
                </c:pt>
                <c:pt idx="4">
                  <c:v>0.19365366721766439</c:v>
                </c:pt>
                <c:pt idx="5">
                  <c:v>0.22745684902998686</c:v>
                </c:pt>
                <c:pt idx="6">
                  <c:v>0.24611496930242086</c:v>
                </c:pt>
                <c:pt idx="7">
                  <c:v>0.26745482530003539</c:v>
                </c:pt>
                <c:pt idx="8">
                  <c:v>0.31104005903550425</c:v>
                </c:pt>
                <c:pt idx="9">
                  <c:v>0.32305598623432213</c:v>
                </c:pt>
                <c:pt idx="10">
                  <c:v>0.34221736844595485</c:v>
                </c:pt>
                <c:pt idx="11">
                  <c:v>0.37649838052913748</c:v>
                </c:pt>
                <c:pt idx="12">
                  <c:v>0.40409713829192628</c:v>
                </c:pt>
                <c:pt idx="13">
                  <c:v>0.43351668496798007</c:v>
                </c:pt>
                <c:pt idx="14">
                  <c:v>0.46773449960049135</c:v>
                </c:pt>
                <c:pt idx="15">
                  <c:v>0.53761773421028902</c:v>
                </c:pt>
                <c:pt idx="16">
                  <c:v>0.57043842528721234</c:v>
                </c:pt>
                <c:pt idx="17">
                  <c:v>0.58026252721358373</c:v>
                </c:pt>
                <c:pt idx="18">
                  <c:v>0.62869322167268205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3-4074-97F8-C22482012CA6}"/>
            </c:ext>
          </c:extLst>
        </c:ser>
        <c:ser>
          <c:idx val="1"/>
          <c:order val="1"/>
          <c:tx>
            <c:strRef>
              <c:f>Taiwan!$C$46</c:f>
              <c:strCache>
                <c:ptCount val="1"/>
                <c:pt idx="0">
                  <c:v>Očekávaná Y</c:v>
                </c:pt>
              </c:strCache>
            </c:strRef>
          </c:tx>
          <c:spPr>
            <a:ln w="76200"/>
          </c:spPr>
          <c:marker>
            <c:symbol val="none"/>
          </c:marker>
          <c:trendline>
            <c:trendlineType val="linear"/>
            <c:dispRSqr val="0"/>
            <c:dispEq val="1"/>
            <c:trendlineLbl>
              <c:layout>
                <c:manualLayout>
                  <c:x val="-0.11008627280601033"/>
                  <c:y val="0.3103613662683308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</c:trendlineLbl>
          </c:trendline>
          <c:cat>
            <c:numRef>
              <c:f>Taiwan!$C$3:$C$21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Taiwan!$C$47:$C$65</c:f>
              <c:numCache>
                <c:formatCode>General</c:formatCode>
                <c:ptCount val="19"/>
                <c:pt idx="0">
                  <c:v>3.261814504615685E-2</c:v>
                </c:pt>
                <c:pt idx="1">
                  <c:v>6.5236290092313701E-2</c:v>
                </c:pt>
                <c:pt idx="2">
                  <c:v>9.7854435138470558E-2</c:v>
                </c:pt>
                <c:pt idx="3">
                  <c:v>0.1304725801846274</c:v>
                </c:pt>
                <c:pt idx="4">
                  <c:v>0.16309072523078424</c:v>
                </c:pt>
                <c:pt idx="5">
                  <c:v>0.19570887027694112</c:v>
                </c:pt>
                <c:pt idx="6">
                  <c:v>0.22832701532309796</c:v>
                </c:pt>
                <c:pt idx="7">
                  <c:v>0.2609451603692548</c:v>
                </c:pt>
                <c:pt idx="8">
                  <c:v>0.29356330541541165</c:v>
                </c:pt>
                <c:pt idx="9">
                  <c:v>0.32618145046156849</c:v>
                </c:pt>
                <c:pt idx="10">
                  <c:v>0.35879959550772533</c:v>
                </c:pt>
                <c:pt idx="11">
                  <c:v>0.39141774055388223</c:v>
                </c:pt>
                <c:pt idx="12">
                  <c:v>0.42403588560003908</c:v>
                </c:pt>
                <c:pt idx="13">
                  <c:v>0.45665403064619592</c:v>
                </c:pt>
                <c:pt idx="14">
                  <c:v>0.48927217569235276</c:v>
                </c:pt>
                <c:pt idx="15">
                  <c:v>0.52189032073850961</c:v>
                </c:pt>
                <c:pt idx="16">
                  <c:v>0.5545084657846665</c:v>
                </c:pt>
                <c:pt idx="17">
                  <c:v>0.58712661083082329</c:v>
                </c:pt>
                <c:pt idx="18">
                  <c:v>0.61974475587698019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3-4074-97F8-C22482012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560783"/>
        <c:axId val="424561263"/>
      </c:lineChart>
      <c:catAx>
        <c:axId val="424560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4561263"/>
        <c:crosses val="autoZero"/>
        <c:auto val="1"/>
        <c:lblAlgn val="ctr"/>
        <c:lblOffset val="100"/>
        <c:noMultiLvlLbl val="0"/>
      </c:catAx>
      <c:valAx>
        <c:axId val="424561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TW"/>
                  <a:t>Y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4245607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0" i="0" u="none" strike="noStrike" kern="1200" baseline="0">
                <a:solidFill>
                  <a:sysClr val="windowText" lastClr="000000"/>
                </a:solidFill>
              </a:rPr>
              <a:t>Odhad parametrů S-S modelů HDP per capit</a:t>
            </a:r>
            <a:endParaRPr lang="zh-TW" altLang="en-US"/>
          </a:p>
        </c:rich>
      </c:tx>
      <c:layout>
        <c:manualLayout>
          <c:xMode val="edge"/>
          <c:yMode val="edge"/>
          <c:x val="0.2182111659330834"/>
          <c:y val="9.0150238566871488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57150"/>
          </c:spPr>
          <c:marker>
            <c:symbol val="none"/>
          </c:marker>
          <c:cat>
            <c:numRef>
              <c:f>Singapore!$C$3:$C$21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Singapore!$F$3:$F$21</c:f>
              <c:numCache>
                <c:formatCode>0.0000000</c:formatCode>
                <c:ptCount val="19"/>
                <c:pt idx="0">
                  <c:v>5.4945876870455192E-2</c:v>
                </c:pt>
                <c:pt idx="1">
                  <c:v>9.966095171124055E-2</c:v>
                </c:pt>
                <c:pt idx="2">
                  <c:v>6.4909114219532979E-2</c:v>
                </c:pt>
                <c:pt idx="3">
                  <c:v>3.6028330993944632E-2</c:v>
                </c:pt>
                <c:pt idx="4">
                  <c:v>0.15388711089148502</c:v>
                </c:pt>
                <c:pt idx="5">
                  <c:v>0.19333262232053822</c:v>
                </c:pt>
                <c:pt idx="6">
                  <c:v>0.21219816595193575</c:v>
                </c:pt>
                <c:pt idx="7">
                  <c:v>0.24305689136395675</c:v>
                </c:pt>
                <c:pt idx="8">
                  <c:v>0.26867320555079421</c:v>
                </c:pt>
                <c:pt idx="9">
                  <c:v>0.28614296368906622</c:v>
                </c:pt>
                <c:pt idx="10">
                  <c:v>0.3099592356701496</c:v>
                </c:pt>
                <c:pt idx="11">
                  <c:v>0.3528690812648797</c:v>
                </c:pt>
                <c:pt idx="12">
                  <c:v>0.38210935698383602</c:v>
                </c:pt>
                <c:pt idx="13">
                  <c:v>0.38366212590798676</c:v>
                </c:pt>
                <c:pt idx="14">
                  <c:v>0.34788743681212891</c:v>
                </c:pt>
                <c:pt idx="15">
                  <c:v>0.48268766352195269</c:v>
                </c:pt>
                <c:pt idx="16">
                  <c:v>0.48986009624487364</c:v>
                </c:pt>
                <c:pt idx="17">
                  <c:v>0.45932711578265933</c:v>
                </c:pt>
                <c:pt idx="18">
                  <c:v>0.482326945859478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0-481B-874E-DDB9742D09D5}"/>
            </c:ext>
          </c:extLst>
        </c:ser>
        <c:ser>
          <c:idx val="1"/>
          <c:order val="1"/>
          <c:tx>
            <c:strRef>
              <c:f>Singapore!$C$46</c:f>
              <c:strCache>
                <c:ptCount val="1"/>
                <c:pt idx="0">
                  <c:v>Očekávaná Y</c:v>
                </c:pt>
              </c:strCache>
            </c:strRef>
          </c:tx>
          <c:spPr>
            <a:ln w="76200"/>
          </c:spPr>
          <c:marker>
            <c:symbol val="none"/>
          </c:marker>
          <c:trendline>
            <c:trendlineType val="linear"/>
            <c:dispRSqr val="0"/>
            <c:dispEq val="1"/>
            <c:trendlineLbl>
              <c:layout>
                <c:manualLayout>
                  <c:x val="-0.32148046257687335"/>
                  <c:y val="0.1957451138058031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>
                      <a:solidFill>
                        <a:schemeClr val="accent3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</c:trendlineLbl>
          </c:trendline>
          <c:cat>
            <c:numRef>
              <c:f>Singapore!$C$3:$C$21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Singapore!$C$47:$C$65</c:f>
              <c:numCache>
                <c:formatCode>General</c:formatCode>
                <c:ptCount val="19"/>
                <c:pt idx="0">
                  <c:v>2.749618556514042E-2</c:v>
                </c:pt>
                <c:pt idx="1">
                  <c:v>5.499237113028084E-2</c:v>
                </c:pt>
                <c:pt idx="2">
                  <c:v>8.2488556695421267E-2</c:v>
                </c:pt>
                <c:pt idx="3">
                  <c:v>0.10998474226056168</c:v>
                </c:pt>
                <c:pt idx="4">
                  <c:v>0.13748092782570209</c:v>
                </c:pt>
                <c:pt idx="5">
                  <c:v>0.16497711339084253</c:v>
                </c:pt>
                <c:pt idx="6">
                  <c:v>0.19247329895598295</c:v>
                </c:pt>
                <c:pt idx="7">
                  <c:v>0.21996948452112336</c:v>
                </c:pt>
                <c:pt idx="8">
                  <c:v>0.24746567008626377</c:v>
                </c:pt>
                <c:pt idx="9">
                  <c:v>0.27496185565140419</c:v>
                </c:pt>
                <c:pt idx="10">
                  <c:v>0.30245804121654463</c:v>
                </c:pt>
                <c:pt idx="11">
                  <c:v>0.32995422678168507</c:v>
                </c:pt>
                <c:pt idx="12">
                  <c:v>0.35745041234682545</c:v>
                </c:pt>
                <c:pt idx="13">
                  <c:v>0.38494659791196589</c:v>
                </c:pt>
                <c:pt idx="14">
                  <c:v>0.41244278347710628</c:v>
                </c:pt>
                <c:pt idx="15">
                  <c:v>0.43993896904224672</c:v>
                </c:pt>
                <c:pt idx="16">
                  <c:v>0.46743515460738716</c:v>
                </c:pt>
                <c:pt idx="17">
                  <c:v>0.49493134017252755</c:v>
                </c:pt>
                <c:pt idx="18">
                  <c:v>0.52242752573766793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0-481B-874E-DDB9742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176143"/>
        <c:axId val="2097160783"/>
      </c:lineChart>
      <c:catAx>
        <c:axId val="209717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7160783"/>
        <c:crosses val="autoZero"/>
        <c:auto val="1"/>
        <c:lblAlgn val="ctr"/>
        <c:lblOffset val="100"/>
        <c:noMultiLvlLbl val="0"/>
      </c:catAx>
      <c:valAx>
        <c:axId val="2097160783"/>
        <c:scaling>
          <c:orientation val="minMax"/>
        </c:scaling>
        <c:delete val="0"/>
        <c:axPos val="l"/>
        <c:numFmt formatCode="0.0000000" sourceLinked="1"/>
        <c:majorTickMark val="out"/>
        <c:minorTickMark val="none"/>
        <c:tickLblPos val="nextTo"/>
        <c:crossAx val="20971761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Srovnání S-S modelu vývoje HDP per capita s polynomickým modelem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Singapore!$D$1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F0"/>
                </a:solidFill>
                <a:prstDash val="dash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9922949491593075"/>
                  <c:y val="0.218812668194956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rgbClr val="002060"/>
                        </a:solidFill>
                      </a:rPr>
                      <a:t>y = 42561e</a:t>
                    </a:r>
                    <a:r>
                      <a:rPr lang="en-US" sz="1400" baseline="30000">
                        <a:solidFill>
                          <a:srgbClr val="002060"/>
                        </a:solidFill>
                      </a:rPr>
                      <a:t>0.0261x</a:t>
                    </a:r>
                    <a:br>
                      <a:rPr lang="en-US" sz="1400" baseline="0">
                        <a:solidFill>
                          <a:srgbClr val="002060"/>
                        </a:solidFill>
                      </a:rPr>
                    </a:br>
                    <a:r>
                      <a:rPr lang="en-US" sz="1400" baseline="0">
                        <a:solidFill>
                          <a:srgbClr val="002060"/>
                        </a:solidFill>
                      </a:rPr>
                      <a:t>R² = 0.9502</a:t>
                    </a:r>
                    <a:endParaRPr lang="en-US" sz="1400">
                      <a:solidFill>
                        <a:srgbClr val="00206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6317611726229419E-3"/>
                  <c:y val="0.37546048041463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Singapore!$B$3:$B$21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Singapore!$D$3:$D$21</c:f>
              <c:numCache>
                <c:formatCode>0.00</c:formatCode>
                <c:ptCount val="19"/>
                <c:pt idx="0">
                  <c:v>44159.41018205518</c:v>
                </c:pt>
                <c:pt idx="1">
                  <c:v>46178.813947019909</c:v>
                </c:pt>
                <c:pt idx="2">
                  <c:v>44601.579930269872</c:v>
                </c:pt>
                <c:pt idx="3">
                  <c:v>43331.87466389616</c:v>
                </c:pt>
                <c:pt idx="4">
                  <c:v>48752.051544185873</c:v>
                </c:pt>
                <c:pt idx="5">
                  <c:v>50713.532639359408</c:v>
                </c:pt>
                <c:pt idx="6">
                  <c:v>51679.352717333037</c:v>
                </c:pt>
                <c:pt idx="7">
                  <c:v>53298.972855828622</c:v>
                </c:pt>
                <c:pt idx="8">
                  <c:v>54681.933645825324</c:v>
                </c:pt>
                <c:pt idx="9">
                  <c:v>55645.606861460568</c:v>
                </c:pt>
                <c:pt idx="10">
                  <c:v>56986.785310291074</c:v>
                </c:pt>
                <c:pt idx="11">
                  <c:v>59485.301587392081</c:v>
                </c:pt>
                <c:pt idx="12">
                  <c:v>61250.347667230191</c:v>
                </c:pt>
                <c:pt idx="13">
                  <c:v>61345.529182006161</c:v>
                </c:pt>
                <c:pt idx="14">
                  <c:v>59189.703857430002</c:v>
                </c:pt>
                <c:pt idx="15">
                  <c:v>67731.261071171655</c:v>
                </c:pt>
                <c:pt idx="16">
                  <c:v>68218.805333561977</c:v>
                </c:pt>
                <c:pt idx="17">
                  <c:v>66167.359630360719</c:v>
                </c:pt>
                <c:pt idx="18">
                  <c:v>67706.833614973919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2-435E-AFE8-6B35D1E1FA06}"/>
            </c:ext>
          </c:extLst>
        </c:ser>
        <c:ser>
          <c:idx val="2"/>
          <c:order val="2"/>
          <c:tx>
            <c:strRef>
              <c:f>Singapore!$G$1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505"/>
              </a:solidFill>
              <a:round/>
            </a:ln>
            <a:effectLst/>
          </c:spPr>
          <c:marker>
            <c:symbol val="none"/>
          </c:marker>
          <c:trendline>
            <c:spPr>
              <a:ln w="50800" cap="rnd">
                <a:solidFill>
                  <a:srgbClr val="FF0000"/>
                </a:solidFill>
                <a:prstDash val="sys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8164607718511607"/>
                  <c:y val="0.31177763380843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Singapore!$B$3:$B$21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Singapore!$G$3:$G$21</c:f>
              <c:numCache>
                <c:formatCode>0.00</c:formatCode>
                <c:ptCount val="19"/>
                <c:pt idx="0">
                  <c:v>42963.733557599844</c:v>
                </c:pt>
                <c:pt idx="1">
                  <c:v>44161.463388876728</c:v>
                </c:pt>
                <c:pt idx="2">
                  <c:v>45392.583166276592</c:v>
                </c:pt>
                <c:pt idx="3">
                  <c:v>46658.023724511062</c:v>
                </c:pt>
                <c:pt idx="4">
                  <c:v>47958.741847817313</c:v>
                </c:pt>
                <c:pt idx="5">
                  <c:v>49295.72099337104</c:v>
                </c:pt>
                <c:pt idx="6">
                  <c:v>50669.972034866434</c:v>
                </c:pt>
                <c:pt idx="7">
                  <c:v>52082.534026825575</c:v>
                </c:pt>
                <c:pt idx="8">
                  <c:v>53534.474990214861</c:v>
                </c:pt>
                <c:pt idx="9">
                  <c:v>55026.892719962751</c:v>
                </c:pt>
                <c:pt idx="10">
                  <c:v>56560.915614989142</c:v>
                </c:pt>
                <c:pt idx="11">
                  <c:v>58137.703531374114</c:v>
                </c:pt>
                <c:pt idx="12">
                  <c:v>59758.44865931099</c:v>
                </c:pt>
                <c:pt idx="13">
                  <c:v>61424.376424506889</c:v>
                </c:pt>
                <c:pt idx="14">
                  <c:v>63136.746414712237</c:v>
                </c:pt>
                <c:pt idx="15">
                  <c:v>64896.853332079707</c:v>
                </c:pt>
                <c:pt idx="16">
                  <c:v>66706.027972072858</c:v>
                </c:pt>
                <c:pt idx="17">
                  <c:v>68565.638229664371</c:v>
                </c:pt>
                <c:pt idx="18">
                  <c:v>70477.090133584876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2-435E-AFE8-6B35D1E1F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340575"/>
        <c:axId val="6313343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Singapore!$B$3:$B$21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Singapore!$B$3:$B$21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462-435E-AFE8-6B35D1E1FA06}"/>
                  </c:ext>
                </c:extLst>
              </c15:ser>
            </c15:filteredLineSeries>
          </c:ext>
        </c:extLst>
      </c:lineChart>
      <c:catAx>
        <c:axId val="6313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34335"/>
        <c:crosses val="autoZero"/>
        <c:auto val="1"/>
        <c:lblAlgn val="ctr"/>
        <c:lblOffset val="100"/>
        <c:noMultiLvlLbl val="0"/>
      </c:catAx>
      <c:valAx>
        <c:axId val="6313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en-GB" sz="1800" b="0" i="0" u="none" strike="noStrike" baseline="0"/>
          </a:p>
          <a:p>
            <a:pPr>
              <a:defRPr/>
            </a:pPr>
            <a:r>
              <a:rPr lang="en-GB" sz="1800" b="0" i="0" u="none" strike="noStrike" baseline="0"/>
              <a:t>Odhad parametrů S-S modelů HDP per capita </a:t>
            </a:r>
            <a:endParaRPr lang="zh-TW" altLang="en-US"/>
          </a:p>
        </c:rich>
      </c:tx>
      <c:layout>
        <c:manualLayout>
          <c:xMode val="edge"/>
          <c:yMode val="edge"/>
          <c:x val="0.2381694628432422"/>
          <c:y val="1.668590018829744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val>
            <c:numRef>
              <c:f>'Taiwan_54years v.s Rezidu'!$G$3:$G$55</c:f>
              <c:numCache>
                <c:formatCode>0.0000000</c:formatCode>
                <c:ptCount val="53"/>
                <c:pt idx="0">
                  <c:v>0.10954393226682262</c:v>
                </c:pt>
                <c:pt idx="1">
                  <c:v>0.21174713390976332</c:v>
                </c:pt>
                <c:pt idx="2">
                  <c:v>0.2201702608349452</c:v>
                </c:pt>
                <c:pt idx="3">
                  <c:v>0.26196382225439135</c:v>
                </c:pt>
                <c:pt idx="4">
                  <c:v>0.37536878944366903</c:v>
                </c:pt>
                <c:pt idx="5">
                  <c:v>0.46350759320682877</c:v>
                </c:pt>
                <c:pt idx="6">
                  <c:v>0.57219686204038533</c:v>
                </c:pt>
                <c:pt idx="7">
                  <c:v>0.637644259747988</c:v>
                </c:pt>
                <c:pt idx="8">
                  <c:v>0.6960545738707079</c:v>
                </c:pt>
                <c:pt idx="9">
                  <c:v>0.7464394895681904</c:v>
                </c:pt>
                <c:pt idx="10">
                  <c:v>0.77556893261475168</c:v>
                </c:pt>
                <c:pt idx="11">
                  <c:v>0.84584607868098094</c:v>
                </c:pt>
                <c:pt idx="12">
                  <c:v>0.92688266312132106</c:v>
                </c:pt>
                <c:pt idx="13">
                  <c:v>0.96011703569213935</c:v>
                </c:pt>
                <c:pt idx="14">
                  <c:v>1.057690558183016</c:v>
                </c:pt>
                <c:pt idx="15">
                  <c:v>1.1671700848683682</c:v>
                </c:pt>
                <c:pt idx="16">
                  <c:v>1.2330696007715178</c:v>
                </c:pt>
                <c:pt idx="17">
                  <c:v>1.3058786829390172</c:v>
                </c:pt>
                <c:pt idx="18">
                  <c:v>1.3487311437353575</c:v>
                </c:pt>
                <c:pt idx="19">
                  <c:v>1.418114935881408</c:v>
                </c:pt>
                <c:pt idx="20">
                  <c:v>1.4882099607860413</c:v>
                </c:pt>
                <c:pt idx="21">
                  <c:v>1.5447707730342644</c:v>
                </c:pt>
                <c:pt idx="22">
                  <c:v>1.6081917780653614</c:v>
                </c:pt>
                <c:pt idx="23">
                  <c:v>1.6626095267990442</c:v>
                </c:pt>
                <c:pt idx="24">
                  <c:v>1.7144051684705983</c:v>
                </c:pt>
                <c:pt idx="25">
                  <c:v>1.7642123371144152</c:v>
                </c:pt>
                <c:pt idx="26">
                  <c:v>1.796125901718211</c:v>
                </c:pt>
                <c:pt idx="27">
                  <c:v>1.8533038497216769</c:v>
                </c:pt>
                <c:pt idx="28">
                  <c:v>1.9066570791242514</c:v>
                </c:pt>
                <c:pt idx="29">
                  <c:v>1.8855055471155517</c:v>
                </c:pt>
                <c:pt idx="30">
                  <c:v>1.9334433262204629</c:v>
                </c:pt>
                <c:pt idx="31">
                  <c:v>1.9704014742031757</c:v>
                </c:pt>
                <c:pt idx="32">
                  <c:v>2.0338870207971298</c:v>
                </c:pt>
                <c:pt idx="33">
                  <c:v>2.082665640351979</c:v>
                </c:pt>
                <c:pt idx="34">
                  <c:v>2.1346524917006104</c:v>
                </c:pt>
                <c:pt idx="35">
                  <c:v>2.1967994705573313</c:v>
                </c:pt>
                <c:pt idx="36">
                  <c:v>2.2012593841687442</c:v>
                </c:pt>
                <c:pt idx="37">
                  <c:v>2.1814881728188702</c:v>
                </c:pt>
                <c:pt idx="38">
                  <c:v>2.2763193075696435</c:v>
                </c:pt>
                <c:pt idx="39">
                  <c:v>2.3101224893819658</c:v>
                </c:pt>
                <c:pt idx="40">
                  <c:v>2.3287806096543999</c:v>
                </c:pt>
                <c:pt idx="41">
                  <c:v>2.3501204656520147</c:v>
                </c:pt>
                <c:pt idx="42">
                  <c:v>2.3937056993874832</c:v>
                </c:pt>
                <c:pt idx="43">
                  <c:v>2.4057216265863013</c:v>
                </c:pt>
                <c:pt idx="44">
                  <c:v>2.4248830087979343</c:v>
                </c:pt>
                <c:pt idx="45">
                  <c:v>2.4591640208811167</c:v>
                </c:pt>
                <c:pt idx="46">
                  <c:v>2.4867627786439055</c:v>
                </c:pt>
                <c:pt idx="47">
                  <c:v>2.5161823253199591</c:v>
                </c:pt>
                <c:pt idx="48">
                  <c:v>2.5504001399524707</c:v>
                </c:pt>
                <c:pt idx="49">
                  <c:v>2.620283374562268</c:v>
                </c:pt>
                <c:pt idx="50">
                  <c:v>2.6531040656391913</c:v>
                </c:pt>
                <c:pt idx="51">
                  <c:v>2.6629281675655627</c:v>
                </c:pt>
                <c:pt idx="52">
                  <c:v>2.7113588620246611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'Czech Republic'!$C$3:$C$21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A4C-46FA-9B8D-CA86BFA6B994}"/>
            </c:ext>
          </c:extLst>
        </c:ser>
        <c:ser>
          <c:idx val="1"/>
          <c:order val="1"/>
          <c:tx>
            <c:strRef>
              <c:f>'Taiwan_54years v.s Rezidu'!$H$59</c:f>
              <c:strCache>
                <c:ptCount val="1"/>
                <c:pt idx="0">
                  <c:v>Očekávaná Y</c:v>
                </c:pt>
              </c:strCache>
            </c:strRef>
          </c:tx>
          <c:spPr>
            <a:ln w="82550">
              <a:solidFill>
                <a:srgbClr val="00B0F0"/>
              </a:solidFill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3738144154153184"/>
                  <c:y val="0.46060093301693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en-US"/>
                </a:p>
              </c:txPr>
            </c:trendlineLbl>
          </c:trendline>
          <c:val>
            <c:numRef>
              <c:f>'Taiwan_54years v.s Rezidu'!$H$60:$H$112</c:f>
              <c:numCache>
                <c:formatCode>General</c:formatCode>
                <c:ptCount val="53"/>
                <c:pt idx="0">
                  <c:v>5.773186609946402E-2</c:v>
                </c:pt>
                <c:pt idx="1">
                  <c:v>0.11546373219892804</c:v>
                </c:pt>
                <c:pt idx="2">
                  <c:v>0.17319559829839207</c:v>
                </c:pt>
                <c:pt idx="3">
                  <c:v>0.23092746439785608</c:v>
                </c:pt>
                <c:pt idx="4">
                  <c:v>0.28865933049732012</c:v>
                </c:pt>
                <c:pt idx="5">
                  <c:v>0.34639119659678413</c:v>
                </c:pt>
                <c:pt idx="6">
                  <c:v>0.40412306269624815</c:v>
                </c:pt>
                <c:pt idx="7">
                  <c:v>0.46185492879571216</c:v>
                </c:pt>
                <c:pt idx="8">
                  <c:v>0.51958679489517623</c:v>
                </c:pt>
                <c:pt idx="9">
                  <c:v>0.57731866099464024</c:v>
                </c:pt>
                <c:pt idx="10">
                  <c:v>0.63505052709410426</c:v>
                </c:pt>
                <c:pt idx="11">
                  <c:v>0.69278239319356827</c:v>
                </c:pt>
                <c:pt idx="12">
                  <c:v>0.75051425929303228</c:v>
                </c:pt>
                <c:pt idx="13">
                  <c:v>0.8082461253924963</c:v>
                </c:pt>
                <c:pt idx="14">
                  <c:v>0.86597799149196031</c:v>
                </c:pt>
                <c:pt idx="15">
                  <c:v>0.92370985759142432</c:v>
                </c:pt>
                <c:pt idx="16">
                  <c:v>0.98144172369088833</c:v>
                </c:pt>
                <c:pt idx="17">
                  <c:v>1.0391735897903525</c:v>
                </c:pt>
                <c:pt idx="18">
                  <c:v>1.0969054558898164</c:v>
                </c:pt>
                <c:pt idx="19">
                  <c:v>1.1546373219892805</c:v>
                </c:pt>
                <c:pt idx="20">
                  <c:v>1.2123691880887444</c:v>
                </c:pt>
                <c:pt idx="21">
                  <c:v>1.2701010541882085</c:v>
                </c:pt>
                <c:pt idx="22">
                  <c:v>1.3278329202876724</c:v>
                </c:pt>
                <c:pt idx="23">
                  <c:v>1.3855647863871365</c:v>
                </c:pt>
                <c:pt idx="24">
                  <c:v>1.4432966524866004</c:v>
                </c:pt>
                <c:pt idx="25">
                  <c:v>1.5010285185860646</c:v>
                </c:pt>
                <c:pt idx="26">
                  <c:v>1.5587603846855285</c:v>
                </c:pt>
                <c:pt idx="27">
                  <c:v>1.6164922507849926</c:v>
                </c:pt>
                <c:pt idx="28">
                  <c:v>1.6742241168844565</c:v>
                </c:pt>
                <c:pt idx="29">
                  <c:v>1.7319559829839206</c:v>
                </c:pt>
                <c:pt idx="30">
                  <c:v>1.7896878490833845</c:v>
                </c:pt>
                <c:pt idx="31">
                  <c:v>1.8474197151828486</c:v>
                </c:pt>
                <c:pt idx="32">
                  <c:v>1.9051515812823128</c:v>
                </c:pt>
                <c:pt idx="33">
                  <c:v>1.9628834473817767</c:v>
                </c:pt>
                <c:pt idx="34">
                  <c:v>2.0206153134812408</c:v>
                </c:pt>
                <c:pt idx="35">
                  <c:v>2.0783471795807049</c:v>
                </c:pt>
                <c:pt idx="36">
                  <c:v>2.1360790456801686</c:v>
                </c:pt>
                <c:pt idx="37">
                  <c:v>2.1938109117796327</c:v>
                </c:pt>
                <c:pt idx="38">
                  <c:v>2.2515427778790968</c:v>
                </c:pt>
                <c:pt idx="39">
                  <c:v>2.309274643978561</c:v>
                </c:pt>
                <c:pt idx="40">
                  <c:v>2.3670065100780247</c:v>
                </c:pt>
                <c:pt idx="41">
                  <c:v>2.4247383761774888</c:v>
                </c:pt>
                <c:pt idx="42">
                  <c:v>2.4824702422769529</c:v>
                </c:pt>
                <c:pt idx="43">
                  <c:v>2.540202108376417</c:v>
                </c:pt>
                <c:pt idx="44">
                  <c:v>2.5979339744758807</c:v>
                </c:pt>
                <c:pt idx="45">
                  <c:v>2.6556658405753448</c:v>
                </c:pt>
                <c:pt idx="46">
                  <c:v>2.713397706674809</c:v>
                </c:pt>
                <c:pt idx="47">
                  <c:v>2.7711295727742731</c:v>
                </c:pt>
                <c:pt idx="48">
                  <c:v>2.8288614388737372</c:v>
                </c:pt>
                <c:pt idx="49">
                  <c:v>2.8865933049732009</c:v>
                </c:pt>
                <c:pt idx="50">
                  <c:v>2.944325171072665</c:v>
                </c:pt>
                <c:pt idx="51">
                  <c:v>3.0020570371721291</c:v>
                </c:pt>
                <c:pt idx="52">
                  <c:v>3.0597889032715933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'Czech Republic'!$C$3:$C$21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A4C-46FA-9B8D-CA86BFA6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760543"/>
        <c:axId val="1924768703"/>
      </c:lineChart>
      <c:catAx>
        <c:axId val="1924760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4768703"/>
        <c:crosses val="autoZero"/>
        <c:auto val="1"/>
        <c:lblAlgn val="ctr"/>
        <c:lblOffset val="100"/>
        <c:noMultiLvlLbl val="0"/>
      </c:catAx>
      <c:valAx>
        <c:axId val="1924768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TW"/>
                  <a:t>Y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192476054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822785423745245"/>
          <c:y val="0.49818563739119498"/>
          <c:w val="0.21177214576254755"/>
          <c:h val="0.15040566100345101"/>
        </c:manualLayout>
      </c:layout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Srovnání S-S modelu vývoje HDP per capita s polynomickým modelem</a:t>
            </a:r>
          </a:p>
        </c:rich>
      </c:tx>
      <c:layout>
        <c:manualLayout>
          <c:xMode val="edge"/>
          <c:yMode val="edge"/>
          <c:x val="0.1598087631933944"/>
          <c:y val="2.735386145670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'Taiwan_54years v.s Rezidu'!$E$1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571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7416585996963464"/>
                  <c:y val="0.460562075838923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4925" cap="rnd">
                <a:solidFill>
                  <a:srgbClr val="00B0F0"/>
                </a:solidFill>
                <a:prstDash val="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4.3011002353066957E-2"/>
                  <c:y val="0.3325826196266403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0" i="0" baseline="0">
                        <a:effectLst/>
                      </a:rPr>
                      <a:t> polynomický model</a:t>
                    </a:r>
                    <a:endParaRPr lang="en-GB" sz="1400">
                      <a:effectLst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>
                        <a:solidFill>
                          <a:srgbClr val="00B0F0"/>
                        </a:solidFill>
                      </a:defRPr>
                    </a:pPr>
                    <a:r>
                      <a:rPr lang="en-US" baseline="0"/>
                      <a:t>y = 5.8366x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+ 235.39x + 1616.6</a:t>
                    </a:r>
                    <a:br>
                      <a:rPr lang="en-US" baseline="0"/>
                    </a:br>
                    <a:r>
                      <a:rPr lang="en-US" baseline="0"/>
                      <a:t>R² = 0.9977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</c:trendlineLbl>
          </c:trendline>
          <c:cat>
            <c:numRef>
              <c:f>'Taiwan_54years v.s Rezidu'!$B$3:$B$55</c:f>
              <c:numCache>
                <c:formatCode>General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'Taiwan_54years v.s Rezidu'!$E$3:$E$55</c:f>
              <c:numCache>
                <c:formatCode>0.00</c:formatCode>
                <c:ptCount val="53"/>
                <c:pt idx="0">
                  <c:v>2307.784476939466</c:v>
                </c:pt>
                <c:pt idx="1">
                  <c:v>2556.121741441757</c:v>
                </c:pt>
                <c:pt idx="2">
                  <c:v>2577.743211665027</c:v>
                </c:pt>
                <c:pt idx="3">
                  <c:v>2687.7592486026565</c:v>
                </c:pt>
                <c:pt idx="4">
                  <c:v>3010.5199978082601</c:v>
                </c:pt>
                <c:pt idx="5">
                  <c:v>3287.9084211249988</c:v>
                </c:pt>
                <c:pt idx="6">
                  <c:v>3665.4125477195521</c:v>
                </c:pt>
                <c:pt idx="7">
                  <c:v>3913.3285009936881</c:v>
                </c:pt>
                <c:pt idx="8">
                  <c:v>4148.7148227401403</c:v>
                </c:pt>
                <c:pt idx="9">
                  <c:v>4363.1030839428186</c:v>
                </c:pt>
                <c:pt idx="10">
                  <c:v>4492.0670520538069</c:v>
                </c:pt>
                <c:pt idx="11">
                  <c:v>4819.1140775186732</c:v>
                </c:pt>
                <c:pt idx="12">
                  <c:v>5225.8982359614729</c:v>
                </c:pt>
                <c:pt idx="13">
                  <c:v>5402.4959883024649</c:v>
                </c:pt>
                <c:pt idx="14">
                  <c:v>5956.2112898969035</c:v>
                </c:pt>
                <c:pt idx="15">
                  <c:v>6645.3284295758967</c:v>
                </c:pt>
                <c:pt idx="16">
                  <c:v>7098.0041004485693</c:v>
                </c:pt>
                <c:pt idx="17">
                  <c:v>7634.0821404443741</c:v>
                </c:pt>
                <c:pt idx="18">
                  <c:v>7968.3319107366933</c:v>
                </c:pt>
                <c:pt idx="19">
                  <c:v>8540.8366127513655</c:v>
                </c:pt>
                <c:pt idx="20">
                  <c:v>9160.9876225472472</c:v>
                </c:pt>
                <c:pt idx="21">
                  <c:v>9694.0743218020307</c:v>
                </c:pt>
                <c:pt idx="22">
                  <c:v>10328.79689444334</c:v>
                </c:pt>
                <c:pt idx="23">
                  <c:v>10906.441281375568</c:v>
                </c:pt>
                <c:pt idx="24">
                  <c:v>11486.233135681407</c:v>
                </c:pt>
                <c:pt idx="25">
                  <c:v>12072.816659697146</c:v>
                </c:pt>
                <c:pt idx="26">
                  <c:v>12464.317134724331</c:v>
                </c:pt>
                <c:pt idx="27">
                  <c:v>13197.770065176859</c:v>
                </c:pt>
                <c:pt idx="28">
                  <c:v>13921.036457213646</c:v>
                </c:pt>
                <c:pt idx="29">
                  <c:v>13629.67741647971</c:v>
                </c:pt>
                <c:pt idx="30">
                  <c:v>14298.967864650398</c:v>
                </c:pt>
                <c:pt idx="31">
                  <c:v>14837.318173645464</c:v>
                </c:pt>
                <c:pt idx="32">
                  <c:v>15809.816616431999</c:v>
                </c:pt>
                <c:pt idx="33">
                  <c:v>16600.115804208392</c:v>
                </c:pt>
                <c:pt idx="34">
                  <c:v>17485.929393164854</c:v>
                </c:pt>
                <c:pt idx="35">
                  <c:v>18607.105086960299</c:v>
                </c:pt>
                <c:pt idx="36">
                  <c:v>18690.276499000625</c:v>
                </c:pt>
                <c:pt idx="37">
                  <c:v>18324.376157791125</c:v>
                </c:pt>
                <c:pt idx="38">
                  <c:v>20147.160064102143</c:v>
                </c:pt>
                <c:pt idx="39">
                  <c:v>20839.839608477254</c:v>
                </c:pt>
                <c:pt idx="40">
                  <c:v>21232.321947670272</c:v>
                </c:pt>
                <c:pt idx="41">
                  <c:v>21690.285701619163</c:v>
                </c:pt>
                <c:pt idx="42">
                  <c:v>22656.566702057029</c:v>
                </c:pt>
                <c:pt idx="43">
                  <c:v>22930.448534902185</c:v>
                </c:pt>
                <c:pt idx="44">
                  <c:v>23374.064195149658</c:v>
                </c:pt>
                <c:pt idx="45">
                  <c:v>24189.243527694911</c:v>
                </c:pt>
                <c:pt idx="46">
                  <c:v>24866.134308006269</c:v>
                </c:pt>
                <c:pt idx="47">
                  <c:v>25608.551955549003</c:v>
                </c:pt>
                <c:pt idx="48">
                  <c:v>26499.985109749879</c:v>
                </c:pt>
                <c:pt idx="49">
                  <c:v>28418.132385268702</c:v>
                </c:pt>
                <c:pt idx="50">
                  <c:v>29366.309937499183</c:v>
                </c:pt>
                <c:pt idx="51">
                  <c:v>29656.229326596149</c:v>
                </c:pt>
                <c:pt idx="52">
                  <c:v>31127.84926258065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C-4D81-B81D-ED79DF1A75ED}"/>
            </c:ext>
          </c:extLst>
        </c:ser>
        <c:ser>
          <c:idx val="2"/>
          <c:order val="2"/>
          <c:tx>
            <c:strRef>
              <c:f>'Taiwan_54years v.s Rezidu'!$H$1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615777819505693"/>
                  <c:y val="0.2348623691537729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cs-CZ" sz="1400" b="0" i="0" baseline="0">
                        <a:effectLst/>
                      </a:rPr>
                      <a:t>S-S model</a:t>
                    </a:r>
                    <a:endParaRPr lang="en-GB" sz="1400">
                      <a:effectLst/>
                    </a:endParaRP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400">
                        <a:solidFill>
                          <a:srgbClr val="FF0000"/>
                        </a:solidFill>
                      </a:defRPr>
                    </a:pPr>
                    <a:r>
                      <a:rPr lang="en-US" baseline="0"/>
                      <a:t>y = 2068.3e</a:t>
                    </a:r>
                    <a:r>
                      <a:rPr lang="en-US" baseline="30000"/>
                      <a:t>0.0577x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</c:trendlineLbl>
          </c:trendline>
          <c:cat>
            <c:numRef>
              <c:f>'Taiwan_54years v.s Rezidu'!$B$3:$B$55</c:f>
              <c:numCache>
                <c:formatCode>General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'Taiwan_54years v.s Rezidu'!$H$3:$H$55</c:f>
              <c:numCache>
                <c:formatCode>0.00</c:formatCode>
                <c:ptCount val="53"/>
                <c:pt idx="0">
                  <c:v>2191.2581952672604</c:v>
                </c:pt>
                <c:pt idx="1">
                  <c:v>2321.4866162762978</c:v>
                </c:pt>
                <c:pt idx="2">
                  <c:v>2459.4546280260056</c:v>
                </c:pt>
                <c:pt idx="3">
                  <c:v>2605.6222012690719</c:v>
                </c:pt>
                <c:pt idx="4">
                  <c:v>2760.4766432286046</c:v>
                </c:pt>
                <c:pt idx="5">
                  <c:v>2924.5342222288486</c:v>
                </c:pt>
                <c:pt idx="6">
                  <c:v>3098.3418888791516</c:v>
                </c:pt>
                <c:pt idx="7">
                  <c:v>3282.4790995494254</c:v>
                </c:pt>
                <c:pt idx="8">
                  <c:v>3477.559748216368</c:v>
                </c:pt>
                <c:pt idx="9">
                  <c:v>3684.2342131210244</c:v>
                </c:pt>
                <c:pt idx="10">
                  <c:v>3903.1915250610296</c:v>
                </c:pt>
                <c:pt idx="11">
                  <c:v>4135.1616645463764</c:v>
                </c:pt>
                <c:pt idx="12">
                  <c:v>4380.9179954771989</c:v>
                </c:pt>
                <c:pt idx="13">
                  <c:v>4641.279843457186</c:v>
                </c:pt>
                <c:pt idx="14">
                  <c:v>4917.1152273384469</c:v>
                </c:pt>
                <c:pt idx="15">
                  <c:v>5209.343753104522</c:v>
                </c:pt>
                <c:pt idx="16">
                  <c:v>5518.9396797394265</c:v>
                </c:pt>
                <c:pt idx="17">
                  <c:v>5846.9351673040183</c:v>
                </c:pt>
                <c:pt idx="18">
                  <c:v>6194.4237180484197</c:v>
                </c:pt>
                <c:pt idx="19">
                  <c:v>6562.563822032831</c:v>
                </c:pt>
                <c:pt idx="20">
                  <c:v>6952.5828194107889</c:v>
                </c:pt>
                <c:pt idx="21">
                  <c:v>7365.7809922513925</c:v>
                </c:pt>
                <c:pt idx="22">
                  <c:v>7803.5358995421266</c:v>
                </c:pt>
                <c:pt idx="23">
                  <c:v>8267.3069698247728</c:v>
                </c:pt>
                <c:pt idx="24">
                  <c:v>8758.6403667757295</c:v>
                </c:pt>
                <c:pt idx="25">
                  <c:v>9279.1741439521393</c:v>
                </c:pt>
                <c:pt idx="26">
                  <c:v>9830.6437058890824</c:v>
                </c:pt>
                <c:pt idx="27">
                  <c:v>10414.887593754715</c:v>
                </c:pt>
                <c:pt idx="28">
                  <c:v>11033.853614851952</c:v>
                </c:pt>
                <c:pt idx="29">
                  <c:v>11689.605336401946</c:v>
                </c:pt>
                <c:pt idx="30">
                  <c:v>12384.328965258825</c:v>
                </c:pt>
                <c:pt idx="31">
                  <c:v>13120.340636492045</c:v>
                </c:pt>
                <c:pt idx="32">
                  <c:v>13900.094135135632</c:v>
                </c:pt>
                <c:pt idx="33">
                  <c:v>14726.189076847835</c:v>
                </c:pt>
                <c:pt idx="34">
                  <c:v>15601.379574754692</c:v>
                </c:pt>
                <c:pt idx="35">
                  <c:v>16528.583421371754</c:v>
                </c:pt>
                <c:pt idx="36">
                  <c:v>17510.89181621559</c:v>
                </c:pt>
                <c:pt idx="37">
                  <c:v>18551.579671535947</c:v>
                </c:pt>
                <c:pt idx="38">
                  <c:v>19654.116530526604</c:v>
                </c:pt>
                <c:pt idx="39">
                  <c:v>20822.178134415295</c:v>
                </c:pt>
                <c:pt idx="40">
                  <c:v>22059.658676996023</c:v>
                </c:pt>
                <c:pt idx="41">
                  <c:v>23370.683787459158</c:v>
                </c:pt>
                <c:pt idx="42">
                  <c:v>24759.624284802572</c:v>
                </c:pt>
                <c:pt idx="43">
                  <c:v>26231.110749679709</c:v>
                </c:pt>
                <c:pt idx="44">
                  <c:v>27790.048962265526</c:v>
                </c:pt>
                <c:pt idx="45">
                  <c:v>29441.636257608548</c:v>
                </c:pt>
                <c:pt idx="46">
                  <c:v>31191.378852995931</c:v>
                </c:pt>
                <c:pt idx="47">
                  <c:v>33045.110205099299</c:v>
                </c:pt>
                <c:pt idx="48">
                  <c:v>35009.01045810205</c:v>
                </c:pt>
                <c:pt idx="49">
                  <c:v>37089.627047646136</c:v>
                </c:pt>
                <c:pt idx="50">
                  <c:v>39293.896529289741</c:v>
                </c:pt>
                <c:pt idx="51">
                  <c:v>41629.16770424947</c:v>
                </c:pt>
                <c:pt idx="52">
                  <c:v>44103.226119526109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9C-4D81-B81D-ED79DF1A7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770847"/>
        <c:axId val="1879766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'Taiwan_54years v.s Rezidu'!$B$3:$B$55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1972</c:v>
                      </c:pt>
                      <c:pt idx="1">
                        <c:v>1973</c:v>
                      </c:pt>
                      <c:pt idx="2">
                        <c:v>1974</c:v>
                      </c:pt>
                      <c:pt idx="3">
                        <c:v>1975</c:v>
                      </c:pt>
                      <c:pt idx="4">
                        <c:v>1976</c:v>
                      </c:pt>
                      <c:pt idx="5">
                        <c:v>1977</c:v>
                      </c:pt>
                      <c:pt idx="6">
                        <c:v>1978</c:v>
                      </c:pt>
                      <c:pt idx="7">
                        <c:v>1979</c:v>
                      </c:pt>
                      <c:pt idx="8">
                        <c:v>1980</c:v>
                      </c:pt>
                      <c:pt idx="9">
                        <c:v>1981</c:v>
                      </c:pt>
                      <c:pt idx="10">
                        <c:v>1982</c:v>
                      </c:pt>
                      <c:pt idx="11">
                        <c:v>1983</c:v>
                      </c:pt>
                      <c:pt idx="12">
                        <c:v>1984</c:v>
                      </c:pt>
                      <c:pt idx="13">
                        <c:v>1985</c:v>
                      </c:pt>
                      <c:pt idx="14">
                        <c:v>1986</c:v>
                      </c:pt>
                      <c:pt idx="15">
                        <c:v>1987</c:v>
                      </c:pt>
                      <c:pt idx="16">
                        <c:v>1988</c:v>
                      </c:pt>
                      <c:pt idx="17">
                        <c:v>1989</c:v>
                      </c:pt>
                      <c:pt idx="18">
                        <c:v>1990</c:v>
                      </c:pt>
                      <c:pt idx="19">
                        <c:v>1991</c:v>
                      </c:pt>
                      <c:pt idx="20">
                        <c:v>1992</c:v>
                      </c:pt>
                      <c:pt idx="21">
                        <c:v>1993</c:v>
                      </c:pt>
                      <c:pt idx="22">
                        <c:v>1994</c:v>
                      </c:pt>
                      <c:pt idx="23">
                        <c:v>1995</c:v>
                      </c:pt>
                      <c:pt idx="24">
                        <c:v>1996</c:v>
                      </c:pt>
                      <c:pt idx="25">
                        <c:v>1997</c:v>
                      </c:pt>
                      <c:pt idx="26">
                        <c:v>1998</c:v>
                      </c:pt>
                      <c:pt idx="27">
                        <c:v>1999</c:v>
                      </c:pt>
                      <c:pt idx="28">
                        <c:v>2000</c:v>
                      </c:pt>
                      <c:pt idx="29">
                        <c:v>2001</c:v>
                      </c:pt>
                      <c:pt idx="30">
                        <c:v>2002</c:v>
                      </c:pt>
                      <c:pt idx="31">
                        <c:v>2003</c:v>
                      </c:pt>
                      <c:pt idx="32">
                        <c:v>2004</c:v>
                      </c:pt>
                      <c:pt idx="33">
                        <c:v>2005</c:v>
                      </c:pt>
                      <c:pt idx="34">
                        <c:v>2006</c:v>
                      </c:pt>
                      <c:pt idx="35">
                        <c:v>2007</c:v>
                      </c:pt>
                      <c:pt idx="36">
                        <c:v>2008</c:v>
                      </c:pt>
                      <c:pt idx="37">
                        <c:v>2009</c:v>
                      </c:pt>
                      <c:pt idx="38">
                        <c:v>2010</c:v>
                      </c:pt>
                      <c:pt idx="39">
                        <c:v>2011</c:v>
                      </c:pt>
                      <c:pt idx="40">
                        <c:v>2012</c:v>
                      </c:pt>
                      <c:pt idx="41">
                        <c:v>2013</c:v>
                      </c:pt>
                      <c:pt idx="42">
                        <c:v>2014</c:v>
                      </c:pt>
                      <c:pt idx="43">
                        <c:v>2015</c:v>
                      </c:pt>
                      <c:pt idx="44">
                        <c:v>2016</c:v>
                      </c:pt>
                      <c:pt idx="45">
                        <c:v>2017</c:v>
                      </c:pt>
                      <c:pt idx="46">
                        <c:v>2018</c:v>
                      </c:pt>
                      <c:pt idx="47">
                        <c:v>2019</c:v>
                      </c:pt>
                      <c:pt idx="48">
                        <c:v>2020</c:v>
                      </c:pt>
                      <c:pt idx="49">
                        <c:v>2021</c:v>
                      </c:pt>
                      <c:pt idx="50">
                        <c:v>2022</c:v>
                      </c:pt>
                      <c:pt idx="51">
                        <c:v>2023</c:v>
                      </c:pt>
                      <c:pt idx="5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'Taiwan_54years v.s Rezidu'!$B$3:$B$55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1972</c:v>
                      </c:pt>
                      <c:pt idx="1">
                        <c:v>1973</c:v>
                      </c:pt>
                      <c:pt idx="2">
                        <c:v>1974</c:v>
                      </c:pt>
                      <c:pt idx="3">
                        <c:v>1975</c:v>
                      </c:pt>
                      <c:pt idx="4">
                        <c:v>1976</c:v>
                      </c:pt>
                      <c:pt idx="5">
                        <c:v>1977</c:v>
                      </c:pt>
                      <c:pt idx="6">
                        <c:v>1978</c:v>
                      </c:pt>
                      <c:pt idx="7">
                        <c:v>1979</c:v>
                      </c:pt>
                      <c:pt idx="8">
                        <c:v>1980</c:v>
                      </c:pt>
                      <c:pt idx="9">
                        <c:v>1981</c:v>
                      </c:pt>
                      <c:pt idx="10">
                        <c:v>1982</c:v>
                      </c:pt>
                      <c:pt idx="11">
                        <c:v>1983</c:v>
                      </c:pt>
                      <c:pt idx="12">
                        <c:v>1984</c:v>
                      </c:pt>
                      <c:pt idx="13">
                        <c:v>1985</c:v>
                      </c:pt>
                      <c:pt idx="14">
                        <c:v>1986</c:v>
                      </c:pt>
                      <c:pt idx="15">
                        <c:v>1987</c:v>
                      </c:pt>
                      <c:pt idx="16">
                        <c:v>1988</c:v>
                      </c:pt>
                      <c:pt idx="17">
                        <c:v>1989</c:v>
                      </c:pt>
                      <c:pt idx="18">
                        <c:v>1990</c:v>
                      </c:pt>
                      <c:pt idx="19">
                        <c:v>1991</c:v>
                      </c:pt>
                      <c:pt idx="20">
                        <c:v>1992</c:v>
                      </c:pt>
                      <c:pt idx="21">
                        <c:v>1993</c:v>
                      </c:pt>
                      <c:pt idx="22">
                        <c:v>1994</c:v>
                      </c:pt>
                      <c:pt idx="23">
                        <c:v>1995</c:v>
                      </c:pt>
                      <c:pt idx="24">
                        <c:v>1996</c:v>
                      </c:pt>
                      <c:pt idx="25">
                        <c:v>1997</c:v>
                      </c:pt>
                      <c:pt idx="26">
                        <c:v>1998</c:v>
                      </c:pt>
                      <c:pt idx="27">
                        <c:v>1999</c:v>
                      </c:pt>
                      <c:pt idx="28">
                        <c:v>2000</c:v>
                      </c:pt>
                      <c:pt idx="29">
                        <c:v>2001</c:v>
                      </c:pt>
                      <c:pt idx="30">
                        <c:v>2002</c:v>
                      </c:pt>
                      <c:pt idx="31">
                        <c:v>2003</c:v>
                      </c:pt>
                      <c:pt idx="32">
                        <c:v>2004</c:v>
                      </c:pt>
                      <c:pt idx="33">
                        <c:v>2005</c:v>
                      </c:pt>
                      <c:pt idx="34">
                        <c:v>2006</c:v>
                      </c:pt>
                      <c:pt idx="35">
                        <c:v>2007</c:v>
                      </c:pt>
                      <c:pt idx="36">
                        <c:v>2008</c:v>
                      </c:pt>
                      <c:pt idx="37">
                        <c:v>2009</c:v>
                      </c:pt>
                      <c:pt idx="38">
                        <c:v>2010</c:v>
                      </c:pt>
                      <c:pt idx="39">
                        <c:v>2011</c:v>
                      </c:pt>
                      <c:pt idx="40">
                        <c:v>2012</c:v>
                      </c:pt>
                      <c:pt idx="41">
                        <c:v>2013</c:v>
                      </c:pt>
                      <c:pt idx="42">
                        <c:v>2014</c:v>
                      </c:pt>
                      <c:pt idx="43">
                        <c:v>2015</c:v>
                      </c:pt>
                      <c:pt idx="44">
                        <c:v>2016</c:v>
                      </c:pt>
                      <c:pt idx="45">
                        <c:v>2017</c:v>
                      </c:pt>
                      <c:pt idx="46">
                        <c:v>2018</c:v>
                      </c:pt>
                      <c:pt idx="47">
                        <c:v>2019</c:v>
                      </c:pt>
                      <c:pt idx="48">
                        <c:v>2020</c:v>
                      </c:pt>
                      <c:pt idx="49">
                        <c:v>2021</c:v>
                      </c:pt>
                      <c:pt idx="50">
                        <c:v>2022</c:v>
                      </c:pt>
                      <c:pt idx="51">
                        <c:v>2023</c:v>
                      </c:pt>
                      <c:pt idx="5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09C-4D81-B81D-ED79DF1A75ED}"/>
                  </c:ext>
                </c:extLst>
              </c15:ser>
            </c15:filteredLineSeries>
          </c:ext>
        </c:extLst>
      </c:lineChart>
      <c:catAx>
        <c:axId val="18797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66527"/>
        <c:crosses val="autoZero"/>
        <c:auto val="1"/>
        <c:lblAlgn val="ctr"/>
        <c:lblOffset val="100"/>
        <c:noMultiLvlLbl val="0"/>
      </c:catAx>
      <c:valAx>
        <c:axId val="18797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TW" sz="1800" b="1"/>
              <a:t>Rezidua </a:t>
            </a:r>
            <a:endParaRPr lang="zh-TW" alt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'Taiwan_54years v.s Rezidu'!$I$59</c:f>
              <c:strCache>
                <c:ptCount val="1"/>
                <c:pt idx="0">
                  <c:v> Rezidua Taiwan1971-2024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'Taiwan_54years v.s Rezidu'!$B$3:$B$55</c:f>
              <c:numCache>
                <c:formatCode>General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'Taiwan_54years v.s Rezidu'!$I$60:$I$112</c:f>
              <c:numCache>
                <c:formatCode>General</c:formatCode>
                <c:ptCount val="53"/>
                <c:pt idx="0">
                  <c:v>5.1812066167358596E-2</c:v>
                </c:pt>
                <c:pt idx="1">
                  <c:v>9.6283401710835284E-2</c:v>
                </c:pt>
                <c:pt idx="2">
                  <c:v>4.6974662536553136E-2</c:v>
                </c:pt>
                <c:pt idx="3">
                  <c:v>3.1036357856535274E-2</c:v>
                </c:pt>
                <c:pt idx="4">
                  <c:v>8.6709458946348905E-2</c:v>
                </c:pt>
                <c:pt idx="5">
                  <c:v>0.11711639661004464</c:v>
                </c:pt>
                <c:pt idx="6">
                  <c:v>0.16807379934413719</c:v>
                </c:pt>
                <c:pt idx="7">
                  <c:v>0.17578933095227584</c:v>
                </c:pt>
                <c:pt idx="8">
                  <c:v>0.17646777897553168</c:v>
                </c:pt>
                <c:pt idx="9">
                  <c:v>0.16912082857355015</c:v>
                </c:pt>
                <c:pt idx="10">
                  <c:v>0.14051840552064743</c:v>
                </c:pt>
                <c:pt idx="11">
                  <c:v>0.15306368548741267</c:v>
                </c:pt>
                <c:pt idx="12">
                  <c:v>0.17636840382828878</c:v>
                </c:pt>
                <c:pt idx="13">
                  <c:v>0.15187091029964306</c:v>
                </c:pt>
                <c:pt idx="14">
                  <c:v>0.19171256669105574</c:v>
                </c:pt>
                <c:pt idx="15">
                  <c:v>0.24346022727694383</c:v>
                </c:pt>
                <c:pt idx="16">
                  <c:v>0.2516278770806295</c:v>
                </c:pt>
                <c:pt idx="17">
                  <c:v>0.26670509314866475</c:v>
                </c:pt>
                <c:pt idx="18">
                  <c:v>0.25182568784554116</c:v>
                </c:pt>
                <c:pt idx="19">
                  <c:v>0.26347761389212754</c:v>
                </c:pt>
                <c:pt idx="20">
                  <c:v>0.2758407726972969</c:v>
                </c:pt>
                <c:pt idx="21">
                  <c:v>0.27466971884605584</c:v>
                </c:pt>
                <c:pt idx="22">
                  <c:v>0.28035885777768899</c:v>
                </c:pt>
                <c:pt idx="23">
                  <c:v>0.27704474041190763</c:v>
                </c:pt>
                <c:pt idx="24">
                  <c:v>0.27110851598399788</c:v>
                </c:pt>
                <c:pt idx="25">
                  <c:v>0.2631838185283506</c:v>
                </c:pt>
                <c:pt idx="26">
                  <c:v>0.23736551703268249</c:v>
                </c:pt>
                <c:pt idx="27">
                  <c:v>0.23681159893668435</c:v>
                </c:pt>
                <c:pt idx="28">
                  <c:v>0.23243296223979493</c:v>
                </c:pt>
                <c:pt idx="29">
                  <c:v>0.15354956413163112</c:v>
                </c:pt>
                <c:pt idx="30">
                  <c:v>0.14375547713707837</c:v>
                </c:pt>
                <c:pt idx="31">
                  <c:v>0.12298175902032704</c:v>
                </c:pt>
                <c:pt idx="32">
                  <c:v>0.12873543951481703</c:v>
                </c:pt>
                <c:pt idx="33">
                  <c:v>0.11978219297020232</c:v>
                </c:pt>
                <c:pt idx="34">
                  <c:v>0.11403717821936965</c:v>
                </c:pt>
                <c:pt idx="35">
                  <c:v>0.11845229097662635</c:v>
                </c:pt>
                <c:pt idx="36">
                  <c:v>6.5180338488575629E-2</c:v>
                </c:pt>
                <c:pt idx="37">
                  <c:v>-1.2322738960762525E-2</c:v>
                </c:pt>
                <c:pt idx="38">
                  <c:v>2.4776529690546667E-2</c:v>
                </c:pt>
                <c:pt idx="39">
                  <c:v>8.4784540340487879E-4</c:v>
                </c:pt>
                <c:pt idx="40">
                  <c:v>-3.8225900423624726E-2</c:v>
                </c:pt>
                <c:pt idx="41">
                  <c:v>-7.4617910525474063E-2</c:v>
                </c:pt>
                <c:pt idx="42">
                  <c:v>-8.8764542889469666E-2</c:v>
                </c:pt>
                <c:pt idx="43">
                  <c:v>-0.13448048179011574</c:v>
                </c:pt>
                <c:pt idx="44">
                  <c:v>-0.17305096567794642</c:v>
                </c:pt>
                <c:pt idx="45">
                  <c:v>-0.19650181969422809</c:v>
                </c:pt>
                <c:pt idx="46">
                  <c:v>-0.22663492803090346</c:v>
                </c:pt>
                <c:pt idx="47">
                  <c:v>-0.25494724745431396</c:v>
                </c:pt>
                <c:pt idx="48">
                  <c:v>-0.27846129892126648</c:v>
                </c:pt>
                <c:pt idx="49">
                  <c:v>-0.26630993041093287</c:v>
                </c:pt>
                <c:pt idx="50">
                  <c:v>-0.29122110543347368</c:v>
                </c:pt>
                <c:pt idx="51">
                  <c:v>-0.33912886960656641</c:v>
                </c:pt>
                <c:pt idx="52">
                  <c:v>-0.34843004124693211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5-45B7-81B5-A6DB852B40DC}"/>
            </c:ext>
          </c:extLst>
        </c:ser>
        <c:ser>
          <c:idx val="1"/>
          <c:order val="1"/>
          <c:tx>
            <c:strRef>
              <c:f>Taiwan!$D$46</c:f>
              <c:strCache>
                <c:ptCount val="1"/>
                <c:pt idx="0">
                  <c:v> Rezidua Taiwan 2005-2024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Taiwan!$D$47:$D$99</c:f>
              <c:numCache>
                <c:formatCode>General</c:formatCode>
                <c:ptCount val="53"/>
                <c:pt idx="34">
                  <c:v>1.936870630247424E-2</c:v>
                </c:pt>
                <c:pt idx="35">
                  <c:v>4.8897540113038554E-2</c:v>
                </c:pt>
                <c:pt idx="36">
                  <c:v>2.0739308678294766E-2</c:v>
                </c:pt>
                <c:pt idx="37">
                  <c:v>-3.1650047717736038E-2</c:v>
                </c:pt>
                <c:pt idx="38">
                  <c:v>3.0562941986880143E-2</c:v>
                </c:pt>
                <c:pt idx="39">
                  <c:v>3.1747978753045747E-2</c:v>
                </c:pt>
                <c:pt idx="40">
                  <c:v>1.7787953979322896E-2</c:v>
                </c:pt>
                <c:pt idx="41">
                  <c:v>6.5096649307805898E-3</c:v>
                </c:pt>
                <c:pt idx="42">
                  <c:v>1.74767536200926E-2</c:v>
                </c:pt>
                <c:pt idx="43">
                  <c:v>-3.1254642272463551E-3</c:v>
                </c:pt>
                <c:pt idx="44">
                  <c:v>-1.6582227061770483E-2</c:v>
                </c:pt>
                <c:pt idx="45">
                  <c:v>-1.4919360024744754E-2</c:v>
                </c:pt>
                <c:pt idx="46">
                  <c:v>-1.9938747308112792E-2</c:v>
                </c:pt>
                <c:pt idx="47">
                  <c:v>-2.3137345678215848E-2</c:v>
                </c:pt>
                <c:pt idx="48">
                  <c:v>-2.1537676091861413E-2</c:v>
                </c:pt>
                <c:pt idx="49">
                  <c:v>1.5727413471779417E-2</c:v>
                </c:pt>
                <c:pt idx="50">
                  <c:v>1.5929959502545832E-2</c:v>
                </c:pt>
                <c:pt idx="51">
                  <c:v>-6.8640836172395581E-3</c:v>
                </c:pt>
                <c:pt idx="52">
                  <c:v>8.9484657957018543E-3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5-45B7-81B5-A6DB852B40DC}"/>
            </c:ext>
          </c:extLst>
        </c:ser>
        <c:ser>
          <c:idx val="2"/>
          <c:order val="2"/>
          <c:tx>
            <c:strRef>
              <c:f>'Czech Republic'!$D$46</c:f>
              <c:strCache>
                <c:ptCount val="1"/>
                <c:pt idx="0">
                  <c:v>Rezidua CZ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'Czech Republic'!$D$47:$D$99</c:f>
              <c:numCache>
                <c:formatCode>General</c:formatCode>
                <c:ptCount val="53"/>
                <c:pt idx="34">
                  <c:v>4.382231749126396E-2</c:v>
                </c:pt>
                <c:pt idx="35">
                  <c:v>7.382133060782492E-2</c:v>
                </c:pt>
                <c:pt idx="36">
                  <c:v>7.3714105032751956E-2</c:v>
                </c:pt>
                <c:pt idx="37">
                  <c:v>1.2437584643331112E-3</c:v>
                </c:pt>
                <c:pt idx="38">
                  <c:v>7.5144469886599952E-3</c:v>
                </c:pt>
                <c:pt idx="39">
                  <c:v>5.4151327115256886E-3</c:v>
                </c:pt>
                <c:pt idx="40">
                  <c:v>-2.1321066684575798E-2</c:v>
                </c:pt>
                <c:pt idx="41">
                  <c:v>-3.967138874173623E-2</c:v>
                </c:pt>
                <c:pt idx="42">
                  <c:v>-3.6120792179732214E-2</c:v>
                </c:pt>
                <c:pt idx="43">
                  <c:v>-7.289779943520508E-3</c:v>
                </c:pt>
                <c:pt idx="44">
                  <c:v>-1.3293966202817531E-3</c:v>
                </c:pt>
                <c:pt idx="45">
                  <c:v>2.8855568064298398E-2</c:v>
                </c:pt>
                <c:pt idx="46">
                  <c:v>3.582081233630649E-2</c:v>
                </c:pt>
                <c:pt idx="47">
                  <c:v>4.9319260079237537E-2</c:v>
                </c:pt>
                <c:pt idx="48">
                  <c:v>-2.5221091312541327E-2</c:v>
                </c:pt>
                <c:pt idx="49">
                  <c:v>1.4796908336574377E-2</c:v>
                </c:pt>
                <c:pt idx="50">
                  <c:v>9.560692000784965E-3</c:v>
                </c:pt>
                <c:pt idx="51">
                  <c:v>-2.64163806525744E-2</c:v>
                </c:pt>
                <c:pt idx="52">
                  <c:v>-3.4541925499479043E-2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5-45B7-81B5-A6DB852B40DC}"/>
            </c:ext>
          </c:extLst>
        </c:ser>
        <c:ser>
          <c:idx val="3"/>
          <c:order val="3"/>
          <c:tx>
            <c:strRef>
              <c:f>Singapore!$D$46</c:f>
              <c:strCache>
                <c:ptCount val="1"/>
                <c:pt idx="0">
                  <c:v>Rezidua Singapore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Singapore!$D$47:$D$99</c:f>
              <c:numCache>
                <c:formatCode>General</c:formatCode>
                <c:ptCount val="53"/>
                <c:pt idx="34">
                  <c:v>2.7449691305314772E-2</c:v>
                </c:pt>
                <c:pt idx="35">
                  <c:v>4.466858058095971E-2</c:v>
                </c:pt>
                <c:pt idx="36">
                  <c:v>-1.7579442475888288E-2</c:v>
                </c:pt>
                <c:pt idx="37">
                  <c:v>-7.3956411266617048E-2</c:v>
                </c:pt>
                <c:pt idx="38">
                  <c:v>1.6406183065782926E-2</c:v>
                </c:pt>
                <c:pt idx="39">
                  <c:v>2.8355508929695683E-2</c:v>
                </c:pt>
                <c:pt idx="40">
                  <c:v>1.97248669959528E-2</c:v>
                </c:pt>
                <c:pt idx="41">
                  <c:v>2.3087406842833391E-2</c:v>
                </c:pt>
                <c:pt idx="42">
                  <c:v>2.1207535464530441E-2</c:v>
                </c:pt>
                <c:pt idx="43">
                  <c:v>1.1181108037662035E-2</c:v>
                </c:pt>
                <c:pt idx="44">
                  <c:v>7.5011944536049757E-3</c:v>
                </c:pt>
                <c:pt idx="45">
                  <c:v>2.2914854483194635E-2</c:v>
                </c:pt>
                <c:pt idx="46">
                  <c:v>2.4658944637010571E-2</c:v>
                </c:pt>
                <c:pt idx="47">
                  <c:v>-1.2844720039791313E-3</c:v>
                </c:pt>
                <c:pt idx="48">
                  <c:v>-6.4555346664977364E-2</c:v>
                </c:pt>
                <c:pt idx="49">
                  <c:v>4.2748694479705973E-2</c:v>
                </c:pt>
                <c:pt idx="50">
                  <c:v>2.2424941637486484E-2</c:v>
                </c:pt>
                <c:pt idx="51">
                  <c:v>-3.5604224389868211E-2</c:v>
                </c:pt>
                <c:pt idx="52">
                  <c:v>-4.0100579878189935E-2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D5-45B7-81B5-A6DB852B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374655"/>
        <c:axId val="631377535"/>
      </c:lineChart>
      <c:catAx>
        <c:axId val="63137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7535"/>
        <c:crosses val="autoZero"/>
        <c:auto val="1"/>
        <c:lblAlgn val="ctr"/>
        <c:lblOffset val="100"/>
        <c:noMultiLvlLbl val="0"/>
      </c:catAx>
      <c:valAx>
        <c:axId val="6313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573861398124577E-2"/>
          <c:y val="0.90710945501561002"/>
          <c:w val="0.91608346050819045"/>
          <c:h val="7.6376785902364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β-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konvergence </a:t>
            </a:r>
            <a:r>
              <a:rPr lang="en-US" sz="1600" b="1" i="0" u="none" strike="noStrike" kern="1200" baseline="0">
                <a:solidFill>
                  <a:sysClr val="windowText" lastClr="000000"/>
                </a:solidFill>
              </a:rPr>
              <a:t>HDP per capita</a:t>
            </a:r>
            <a:endParaRPr lang="cs-CZ" sz="1600" b="1" i="0" u="none" strike="noStrike" kern="1200" baseline="0">
              <a:solidFill>
                <a:sysClr val="windowText" lastClr="000000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zh-TW" altLang="en-US" sz="1600"/>
          </a:p>
        </c:rich>
      </c:tx>
      <c:layout>
        <c:manualLayout>
          <c:xMode val="edge"/>
          <c:yMode val="edge"/>
          <c:x val="0.29872820652461668"/>
          <c:y val="3.0120531945809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9.0695756053749091E-2"/>
          <c:y val="0.18920695906987534"/>
          <c:w val="0.85205064483218662"/>
          <c:h val="0.73342266704613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Convergence_4!$C$1:$F$1</c:f>
              <c:strCache>
                <c:ptCount val="4"/>
                <c:pt idx="0">
                  <c:v>Korea</c:v>
                </c:pt>
                <c:pt idx="1">
                  <c:v>Singapore</c:v>
                </c:pt>
                <c:pt idx="2">
                  <c:v>Czech Republic</c:v>
                </c:pt>
                <c:pt idx="3">
                  <c:v>Taiwan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212295869357092E-3"/>
                  <c:y val="-3.8078500292911543E-2"/>
                </c:manualLayout>
              </c:layout>
              <c:tx>
                <c:rich>
                  <a:bodyPr/>
                  <a:lstStyle/>
                  <a:p>
                    <a:fld id="{8B248578-0FC5-4600-AE4F-626C0E23B9A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987-44AA-B8F1-F041719AF6E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07A268D-F644-49DA-A875-2DB71901E4E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987-44AA-B8F1-F041719AF6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DA500F-5A3C-47A7-A113-90D4133552A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987-44AA-B8F1-F041719AF6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E6CB05-DAB6-4816-99CE-10B78EC0AC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987-44AA-B8F1-F041719AF6E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317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546943259999478"/>
                  <c:y val="0.1517877283411862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Convergence_4!$C$23:$F$23</c:f>
              <c:numCache>
                <c:formatCode>#,##0.0000</c:formatCode>
                <c:ptCount val="4"/>
                <c:pt idx="0">
                  <c:v>9.9616243334427601</c:v>
                </c:pt>
                <c:pt idx="1">
                  <c:v>10.640615447606704</c:v>
                </c:pt>
                <c:pt idx="2">
                  <c:v>9.6256053997425628</c:v>
                </c:pt>
                <c:pt idx="3">
                  <c:v>9.717164950477434</c:v>
                </c:pt>
              </c:numCache>
            </c:numRef>
          </c:xVal>
          <c:yVal>
            <c:numRef>
              <c:f>Convergence_4!$C$24:$F$24</c:f>
              <c:numCache>
                <c:formatCode>0.0000</c:formatCode>
                <c:ptCount val="4"/>
                <c:pt idx="0">
                  <c:v>2.620032044440275E-2</c:v>
                </c:pt>
                <c:pt idx="1">
                  <c:v>2.5385628729446209E-2</c:v>
                </c:pt>
                <c:pt idx="2">
                  <c:v>1.5782414919009103E-2</c:v>
                </c:pt>
                <c:pt idx="3">
                  <c:v>3.308911693014116E-2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Convergence_4!$C$1:$F$1</c15:f>
                <c15:dlblRangeCache>
                  <c:ptCount val="4"/>
                  <c:pt idx="0">
                    <c:v>Korea</c:v>
                  </c:pt>
                  <c:pt idx="1">
                    <c:v>Singapore</c:v>
                  </c:pt>
                  <c:pt idx="2">
                    <c:v>Czech Republic</c:v>
                  </c:pt>
                  <c:pt idx="3">
                    <c:v>Taiwan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987-44AA-B8F1-F041719A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728383"/>
        <c:axId val="1924734623"/>
      </c:scatterChart>
      <c:valAx>
        <c:axId val="192472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4623"/>
        <c:crosses val="autoZero"/>
        <c:crossBetween val="midCat"/>
      </c:valAx>
      <c:valAx>
        <c:axId val="19247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2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Sigm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a-konvergence </a:t>
            </a:r>
            <a:r>
              <a:rPr lang="en-US" sz="1400" b="1" i="0" u="none" strike="noStrike" kern="1200" spc="0" baseline="0">
                <a:solidFill>
                  <a:srgbClr val="0070C0"/>
                </a:solidFill>
                <a:effectLst/>
              </a:rPr>
              <a:t>HDP per capita</a:t>
            </a:r>
            <a:endParaRPr lang="cs-CZ" sz="1400" b="1" i="0" u="none" strike="noStrike" kern="1200" spc="0" baseline="0">
              <a:solidFill>
                <a:srgbClr val="0070C0"/>
              </a:solidFill>
              <a:effectLst/>
            </a:endParaRPr>
          </a:p>
          <a:p>
            <a:pPr>
              <a:defRPr/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vývoj </a:t>
            </a:r>
            <a:r>
              <a:rPr lang="cs-CZ" sz="1400" b="1" i="0" u="none" strike="noStrike" kern="1200" spc="0" baseline="0">
                <a:solidFill>
                  <a:srgbClr val="FF0000"/>
                </a:solidFill>
                <a:effectLst/>
              </a:rPr>
              <a:t>variačního koeficientu</a:t>
            </a:r>
            <a:endParaRPr lang="cs-CZ" sz="1400" b="0" i="0" u="none" strike="noStrike" kern="1200" spc="0" baseline="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555555555555566E-2"/>
                  <c:y val="-7.67085076708508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D0-40B7-B7CF-742B0E9E539C}"/>
                </c:ext>
              </c:extLst>
            </c:dLbl>
            <c:dLbl>
              <c:idx val="19"/>
              <c:layout>
                <c:manualLayout>
                  <c:x val="-0.04"/>
                  <c:y val="4.18410041841004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D0-40B7-B7CF-742B0E9E5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1919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13175853018373"/>
                  <c:y val="0.3805293820490012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 cmpd="thinThick">
                  <a:solidFill>
                    <a:srgbClr val="FF1919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noFill/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2276290463692037E-2"/>
                  <c:y val="0.33561509570717885"/>
                </c:manualLayout>
              </c:layout>
              <c:numFmt formatCode="General" sourceLinked="0"/>
              <c:spPr>
                <a:noFill/>
                <a:ln>
                  <a:solidFill>
                    <a:srgbClr val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Convergence_4!$B$3:$B$22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Convergence_4!$H$3:$H$22</c:f>
              <c:numCache>
                <c:formatCode>0%</c:formatCode>
                <c:ptCount val="20"/>
                <c:pt idx="0">
                  <c:v>0.52129416380072968</c:v>
                </c:pt>
                <c:pt idx="1">
                  <c:v>0.52205108367943698</c:v>
                </c:pt>
                <c:pt idx="2">
                  <c:v>0.51627959423725889</c:v>
                </c:pt>
                <c:pt idx="3">
                  <c:v>0.48553136303421224</c:v>
                </c:pt>
                <c:pt idx="4">
                  <c:v>0.48457273498265074</c:v>
                </c:pt>
                <c:pt idx="5">
                  <c:v>0.52087366065488638</c:v>
                </c:pt>
                <c:pt idx="6">
                  <c:v>0.52950912425420704</c:v>
                </c:pt>
                <c:pt idx="7">
                  <c:v>0.53605339526078333</c:v>
                </c:pt>
                <c:pt idx="8">
                  <c:v>0.54608426502967067</c:v>
                </c:pt>
                <c:pt idx="9">
                  <c:v>0.54321906911700746</c:v>
                </c:pt>
                <c:pt idx="10">
                  <c:v>0.5369655002069067</c:v>
                </c:pt>
                <c:pt idx="11">
                  <c:v>0.53783534203688954</c:v>
                </c:pt>
                <c:pt idx="12">
                  <c:v>0.54113093342997298</c:v>
                </c:pt>
                <c:pt idx="13">
                  <c:v>0.543416516602092</c:v>
                </c:pt>
                <c:pt idx="14">
                  <c:v>0.52753577966444154</c:v>
                </c:pt>
                <c:pt idx="15">
                  <c:v>0.51271126544908763</c:v>
                </c:pt>
                <c:pt idx="16">
                  <c:v>0.5602926751157995</c:v>
                </c:pt>
                <c:pt idx="17">
                  <c:v>0.54986150850576943</c:v>
                </c:pt>
                <c:pt idx="18">
                  <c:v>0.53091383351919896</c:v>
                </c:pt>
                <c:pt idx="19">
                  <c:v>0.52894129008854451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4-484B-968E-658F6420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167199"/>
        <c:axId val="773171999"/>
      </c:lineChart>
      <c:catAx>
        <c:axId val="7731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71999"/>
        <c:crosses val="autoZero"/>
        <c:auto val="1"/>
        <c:lblAlgn val="ctr"/>
        <c:lblOffset val="100"/>
        <c:noMultiLvlLbl val="0"/>
      </c:catAx>
      <c:valAx>
        <c:axId val="7731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6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Sigm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a-konvergence </a:t>
            </a:r>
            <a:r>
              <a:rPr lang="en-US" sz="1400" b="1" i="0" u="none" strike="noStrike" kern="1200" spc="0" baseline="0">
                <a:solidFill>
                  <a:srgbClr val="0070C0"/>
                </a:solidFill>
                <a:effectLst/>
              </a:rPr>
              <a:t>ln(HDP per capita)</a:t>
            </a:r>
            <a:endParaRPr lang="cs-CZ" sz="1400" b="1" i="0" u="none" strike="noStrike" kern="1200" spc="0" baseline="0">
              <a:solidFill>
                <a:srgbClr val="0070C0"/>
              </a:solidFill>
              <a:effectLst/>
            </a:endParaRPr>
          </a:p>
          <a:p>
            <a:pPr>
              <a:defRPr/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vývoj </a:t>
            </a:r>
            <a:r>
              <a:rPr lang="cs-CZ" sz="1400" b="1" i="0" u="none" strike="noStrike" kern="1200" spc="0" baseline="0">
                <a:solidFill>
                  <a:srgbClr val="FF0000"/>
                </a:solidFill>
                <a:effectLst/>
              </a:rPr>
              <a:t>variačního koeficientu</a:t>
            </a:r>
            <a:endParaRPr lang="cs-CZ" sz="1400" b="0" i="0" u="none" strike="noStrike" kern="1200" spc="0" baseline="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1919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92818897637795"/>
                  <c:y val="0.42701902063497293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 cmpd="thinThick">
                  <a:solidFill>
                    <a:srgbClr val="FF1919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noFill/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664864391951006E-2"/>
                  <c:y val="0.37387765075390683"/>
                </c:manualLayout>
              </c:layout>
              <c:numFmt formatCode="General" sourceLinked="0"/>
              <c:spPr>
                <a:noFill/>
                <a:ln>
                  <a:solidFill>
                    <a:srgbClr val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Convergence_4!$B$3:$B$22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Convergence_4!$Q$3:$Q$22</c:f>
              <c:numCache>
                <c:formatCode>0.00%</c:formatCode>
                <c:ptCount val="20"/>
                <c:pt idx="0">
                  <c:v>4.5935139693120138E-2</c:v>
                </c:pt>
                <c:pt idx="1">
                  <c:v>4.5598659397516818E-2</c:v>
                </c:pt>
                <c:pt idx="2">
                  <c:v>4.494125372498E-2</c:v>
                </c:pt>
                <c:pt idx="3">
                  <c:v>4.2716132389900012E-2</c:v>
                </c:pt>
                <c:pt idx="4">
                  <c:v>4.3355831583342934E-2</c:v>
                </c:pt>
                <c:pt idx="5">
                  <c:v>4.6115736987849897E-2</c:v>
                </c:pt>
                <c:pt idx="6">
                  <c:v>4.6784439501227987E-2</c:v>
                </c:pt>
                <c:pt idx="7">
                  <c:v>4.7584644433901362E-2</c:v>
                </c:pt>
                <c:pt idx="8">
                  <c:v>4.861211823861479E-2</c:v>
                </c:pt>
                <c:pt idx="9">
                  <c:v>4.8365840438961513E-2</c:v>
                </c:pt>
                <c:pt idx="10">
                  <c:v>4.742105570968156E-2</c:v>
                </c:pt>
                <c:pt idx="11">
                  <c:v>4.739186506663081E-2</c:v>
                </c:pt>
                <c:pt idx="12">
                  <c:v>4.718919406544976E-2</c:v>
                </c:pt>
                <c:pt idx="13">
                  <c:v>4.7232801750520866E-2</c:v>
                </c:pt>
                <c:pt idx="14">
                  <c:v>4.5847523003439188E-2</c:v>
                </c:pt>
                <c:pt idx="15">
                  <c:v>4.5695091147642912E-2</c:v>
                </c:pt>
                <c:pt idx="16">
                  <c:v>4.8611519003522737E-2</c:v>
                </c:pt>
                <c:pt idx="17">
                  <c:v>4.8057181386775609E-2</c:v>
                </c:pt>
                <c:pt idx="18">
                  <c:v>4.7273451836047829E-2</c:v>
                </c:pt>
                <c:pt idx="19">
                  <c:v>4.7407944313823565E-2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5F-44B3-8130-2C466958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167199"/>
        <c:axId val="773171999"/>
      </c:lineChart>
      <c:catAx>
        <c:axId val="7731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71999"/>
        <c:crosses val="autoZero"/>
        <c:auto val="1"/>
        <c:lblAlgn val="ctr"/>
        <c:lblOffset val="100"/>
        <c:noMultiLvlLbl val="0"/>
      </c:catAx>
      <c:valAx>
        <c:axId val="7731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6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Sigm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a-konvergence </a:t>
            </a:r>
            <a:r>
              <a:rPr lang="en-US" sz="1400" b="1" i="0" u="none" strike="noStrike" kern="1200" spc="0" baseline="0">
                <a:solidFill>
                  <a:srgbClr val="0070C0"/>
                </a:solidFill>
                <a:effectLst/>
              </a:rPr>
              <a:t>HDP per capita</a:t>
            </a:r>
            <a:endParaRPr lang="cs-CZ" sz="1400" b="1" i="0" u="none" strike="noStrike" kern="1200" spc="0" baseline="0">
              <a:solidFill>
                <a:srgbClr val="0070C0"/>
              </a:solidFill>
              <a:effectLst/>
            </a:endParaRPr>
          </a:p>
          <a:p>
            <a:pPr>
              <a:defRPr/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vývoj </a:t>
            </a:r>
            <a:r>
              <a:rPr lang="cs-CZ" sz="1400" b="1" i="0" u="none" strike="noStrike" kern="1200" spc="0" baseline="0">
                <a:solidFill>
                  <a:srgbClr val="FF0000"/>
                </a:solidFill>
                <a:effectLst/>
              </a:rPr>
              <a:t>směrodatné odchylky</a:t>
            </a:r>
            <a:endParaRPr lang="cs-CZ" sz="1400" b="0" i="0" u="none" strike="noStrike" kern="1200" spc="0" baseline="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1919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13175853018373"/>
                  <c:y val="0.3805293820490012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 cmpd="thinThick">
                  <a:solidFill>
                    <a:srgbClr val="FF1919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noFill/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2276290463692037E-2"/>
                  <c:y val="0.33561509570717885"/>
                </c:manualLayout>
              </c:layout>
              <c:numFmt formatCode="General" sourceLinked="0"/>
              <c:spPr>
                <a:noFill/>
                <a:ln>
                  <a:solidFill>
                    <a:srgbClr val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Convergence_4!$B$3:$B$22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Convergence_4!$G$3:$G$22</c:f>
              <c:numCache>
                <c:formatCode>0.00</c:formatCode>
                <c:ptCount val="20"/>
                <c:pt idx="0">
                  <c:v>12347.311584184932</c:v>
                </c:pt>
                <c:pt idx="1">
                  <c:v>13044.601568843158</c:v>
                </c:pt>
                <c:pt idx="2">
                  <c:v>13557.967066762874</c:v>
                </c:pt>
                <c:pt idx="3">
                  <c:v>12668.674047664517</c:v>
                </c:pt>
                <c:pt idx="4">
                  <c:v>12342.294402735575</c:v>
                </c:pt>
                <c:pt idx="5">
                  <c:v>14456.947531434816</c:v>
                </c:pt>
                <c:pt idx="6">
                  <c:v>15179.875065807395</c:v>
                </c:pt>
                <c:pt idx="7">
                  <c:v>15594.370065905601</c:v>
                </c:pt>
                <c:pt idx="8">
                  <c:v>16266.301474081267</c:v>
                </c:pt>
                <c:pt idx="9">
                  <c:v>16643.764183292227</c:v>
                </c:pt>
                <c:pt idx="10">
                  <c:v>16813.073547650009</c:v>
                </c:pt>
                <c:pt idx="11">
                  <c:v>17235.884382523982</c:v>
                </c:pt>
                <c:pt idx="12">
                  <c:v>18025.764991625689</c:v>
                </c:pt>
                <c:pt idx="13">
                  <c:v>18600.111925253419</c:v>
                </c:pt>
                <c:pt idx="14">
                  <c:v>18326.60497301085</c:v>
                </c:pt>
                <c:pt idx="15">
                  <c:v>17470.763760498685</c:v>
                </c:pt>
                <c:pt idx="16">
                  <c:v>20912.13187078293</c:v>
                </c:pt>
                <c:pt idx="17">
                  <c:v>20881.381572269936</c:v>
                </c:pt>
                <c:pt idx="18">
                  <c:v>19935.331142467916</c:v>
                </c:pt>
                <c:pt idx="19">
                  <c:v>20384.195246282197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DD-4AB4-B02F-D68380A2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167199"/>
        <c:axId val="773171999"/>
      </c:lineChart>
      <c:catAx>
        <c:axId val="7731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71999"/>
        <c:crosses val="autoZero"/>
        <c:auto val="1"/>
        <c:lblAlgn val="ctr"/>
        <c:lblOffset val="100"/>
        <c:noMultiLvlLbl val="0"/>
      </c:catAx>
      <c:valAx>
        <c:axId val="7731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6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Sigm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a-konvergence </a:t>
            </a:r>
            <a:r>
              <a:rPr lang="en-US" sz="1400" b="1" i="0" u="none" strike="noStrike" kern="1200" spc="0" baseline="0">
                <a:solidFill>
                  <a:srgbClr val="0070C0"/>
                </a:solidFill>
                <a:effectLst/>
              </a:rPr>
              <a:t>ln(HDP per capita)</a:t>
            </a:r>
            <a:endParaRPr lang="cs-CZ" sz="1400" b="1" i="0" u="none" strike="noStrike" kern="1200" spc="0" baseline="0">
              <a:solidFill>
                <a:srgbClr val="0070C0"/>
              </a:solidFill>
              <a:effectLst/>
            </a:endParaRPr>
          </a:p>
          <a:p>
            <a:pPr>
              <a:defRPr/>
            </a:pPr>
            <a:r>
              <a:rPr lang="cs-CZ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vývoj </a:t>
            </a:r>
            <a:r>
              <a:rPr lang="cs-CZ" sz="1400" b="1" i="0" u="none" strike="noStrike" kern="1200" spc="0" baseline="0">
                <a:solidFill>
                  <a:srgbClr val="FF0000"/>
                </a:solidFill>
                <a:effectLst/>
              </a:rPr>
              <a:t>směrodatné odchylky</a:t>
            </a:r>
            <a:endParaRPr lang="cs-CZ" sz="1400" b="0" i="0" u="none" strike="noStrike" kern="1200" spc="0" baseline="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666666666666668E-2"/>
                  <c:y val="-7.6708507670850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2-482A-B3C6-8371D0963952}"/>
                </c:ext>
              </c:extLst>
            </c:dLbl>
            <c:dLbl>
              <c:idx val="19"/>
              <c:layout>
                <c:manualLayout>
                  <c:x val="-1.3333333333333496E-2"/>
                  <c:y val="-0.104602510460251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02-482A-B3C6-8371D09639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1919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92818897637795"/>
                  <c:y val="0.42701902063497293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 cmpd="thinThick">
                  <a:solidFill>
                    <a:srgbClr val="FF1919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noFill/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664864391951006E-2"/>
                  <c:y val="0.37387765075390683"/>
                </c:manualLayout>
              </c:layout>
              <c:numFmt formatCode="General" sourceLinked="0"/>
              <c:spPr>
                <a:noFill/>
                <a:ln>
                  <a:solidFill>
                    <a:srgbClr val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Convergence_4!$B$3:$B$22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Convergence_4!$P$3:$P$22</c:f>
              <c:numCache>
                <c:formatCode>0.0000</c:formatCode>
                <c:ptCount val="20"/>
                <c:pt idx="0">
                  <c:v>0.4587199051057404</c:v>
                </c:pt>
                <c:pt idx="1">
                  <c:v>0.45780390558137868</c:v>
                </c:pt>
                <c:pt idx="2">
                  <c:v>0.45351570953496728</c:v>
                </c:pt>
                <c:pt idx="3">
                  <c:v>0.43116058061474583</c:v>
                </c:pt>
                <c:pt idx="4">
                  <c:v>0.43652518922638833</c:v>
                </c:pt>
                <c:pt idx="5">
                  <c:v>0.46774194545503628</c:v>
                </c:pt>
                <c:pt idx="6">
                  <c:v>0.47589586354454122</c:v>
                </c:pt>
                <c:pt idx="7">
                  <c:v>0.48459322250526182</c:v>
                </c:pt>
                <c:pt idx="8">
                  <c:v>0.49600540769597223</c:v>
                </c:pt>
                <c:pt idx="9">
                  <c:v>0.4948902486259168</c:v>
                </c:pt>
                <c:pt idx="10">
                  <c:v>0.48638893778531828</c:v>
                </c:pt>
                <c:pt idx="11">
                  <c:v>0.48717496120188281</c:v>
                </c:pt>
                <c:pt idx="12">
                  <c:v>0.48689978000016376</c:v>
                </c:pt>
                <c:pt idx="13">
                  <c:v>0.48859819373240876</c:v>
                </c:pt>
                <c:pt idx="14">
                  <c:v>0.47519416055858077</c:v>
                </c:pt>
                <c:pt idx="15">
                  <c:v>0.47284892060443184</c:v>
                </c:pt>
                <c:pt idx="16">
                  <c:v>0.50674344129708304</c:v>
                </c:pt>
                <c:pt idx="17">
                  <c:v>0.5019262576653809</c:v>
                </c:pt>
                <c:pt idx="18">
                  <c:v>0.49342889013274932</c:v>
                </c:pt>
                <c:pt idx="19">
                  <c:v>0.49604949664425058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A2-4A30-890A-C89A82E68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167199"/>
        <c:axId val="773171999"/>
      </c:lineChart>
      <c:catAx>
        <c:axId val="7731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71999"/>
        <c:crosses val="autoZero"/>
        <c:auto val="1"/>
        <c:lblAlgn val="ctr"/>
        <c:lblOffset val="100"/>
        <c:noMultiLvlLbl val="0"/>
      </c:catAx>
      <c:valAx>
        <c:axId val="7731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6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Srovnání S-S modelu vývoje HDP per capita s polynomickým modelem</a:t>
            </a:r>
            <a:br>
              <a: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Czech Republic,Taiwan,Singapore</a:t>
            </a:r>
            <a:endParaRPr lang="cs-CZ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0329440466684532"/>
          <c:y val="2.0315549786475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'Czech Republic'!$D$1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'Czech Republic'!$D$3:$D$21</c:f>
              <c:numCache>
                <c:formatCode>0.00</c:formatCode>
                <c:ptCount val="19"/>
                <c:pt idx="0">
                  <c:v>16107.304250268831</c:v>
                </c:pt>
                <c:pt idx="1">
                  <c:v>16892.54285497405</c:v>
                </c:pt>
                <c:pt idx="2">
                  <c:v>17190.64703332894</c:v>
                </c:pt>
                <c:pt idx="3">
                  <c:v>16272.808476671911</c:v>
                </c:pt>
                <c:pt idx="4">
                  <c:v>16665.9317825137</c:v>
                </c:pt>
                <c:pt idx="5">
                  <c:v>16926.284667443535</c:v>
                </c:pt>
                <c:pt idx="6">
                  <c:v>16772.353922332768</c:v>
                </c:pt>
                <c:pt idx="7">
                  <c:v>16759.7808635642</c:v>
                </c:pt>
                <c:pt idx="8">
                  <c:v>17118.042557157849</c:v>
                </c:pt>
                <c:pt idx="9">
                  <c:v>17931.598767076761</c:v>
                </c:pt>
                <c:pt idx="10">
                  <c:v>18359.097810390373</c:v>
                </c:pt>
                <c:pt idx="11">
                  <c:v>19257.693068091088</c:v>
                </c:pt>
                <c:pt idx="12">
                  <c:v>19736.629526128501</c:v>
                </c:pt>
                <c:pt idx="13">
                  <c:v>20360.059922181354</c:v>
                </c:pt>
                <c:pt idx="14">
                  <c:v>19233.146954982902</c:v>
                </c:pt>
                <c:pt idx="15">
                  <c:v>20373.878304342365</c:v>
                </c:pt>
                <c:pt idx="16">
                  <c:v>20627.348651010972</c:v>
                </c:pt>
                <c:pt idx="17">
                  <c:v>20251.748551977889</c:v>
                </c:pt>
                <c:pt idx="18">
                  <c:v>20444.543067636238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3-4273-8EDF-260543F4A125}"/>
            </c:ext>
          </c:extLst>
        </c:ser>
        <c:ser>
          <c:idx val="1"/>
          <c:order val="1"/>
          <c:tx>
            <c:strRef>
              <c:f>'Czech Republic'!$G$1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'Czech Republic'!$G$3:$G$21</c:f>
              <c:numCache>
                <c:formatCode>0.00</c:formatCode>
                <c:ptCount val="19"/>
                <c:pt idx="0">
                  <c:v>15416.687578896324</c:v>
                </c:pt>
                <c:pt idx="1">
                  <c:v>15690.429535497431</c:v>
                </c:pt>
                <c:pt idx="2">
                  <c:v>15969.03211202226</c:v>
                </c:pt>
                <c:pt idx="3">
                  <c:v>16252.581614663462</c:v>
                </c:pt>
                <c:pt idx="4">
                  <c:v>16541.165882084653</c:v>
                </c:pt>
                <c:pt idx="5">
                  <c:v>16834.87431263128</c:v>
                </c:pt>
                <c:pt idx="6">
                  <c:v>17133.797892024675</c:v>
                </c:pt>
                <c:pt idx="7">
                  <c:v>17438.029221547829</c:v>
                </c:pt>
                <c:pt idx="8">
                  <c:v>17747.662546731652</c:v>
                </c:pt>
                <c:pt idx="9">
                  <c:v>18062.79378655057</c:v>
                </c:pt>
                <c:pt idx="10">
                  <c:v>18383.520563136557</c:v>
                </c:pt>
                <c:pt idx="11">
                  <c:v>18709.94223202076</c:v>
                </c:pt>
                <c:pt idx="12">
                  <c:v>19042.159912912084</c:v>
                </c:pt>
                <c:pt idx="13">
                  <c:v>19380.276521022322</c:v>
                </c:pt>
                <c:pt idx="14">
                  <c:v>19724.39679894748</c:v>
                </c:pt>
                <c:pt idx="15">
                  <c:v>20074.627349115188</c:v>
                </c:pt>
                <c:pt idx="16">
                  <c:v>20431.076666808262</c:v>
                </c:pt>
                <c:pt idx="17">
                  <c:v>20793.855173774653</c:v>
                </c:pt>
                <c:pt idx="18">
                  <c:v>21163.075252434155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3-4273-8EDF-260543F4A125}"/>
            </c:ext>
          </c:extLst>
        </c:ser>
        <c:ser>
          <c:idx val="2"/>
          <c:order val="2"/>
          <c:tx>
            <c:strRef>
              <c:f>Taiwan!$D$1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Taiwan!$D$3:$D$21</c:f>
              <c:numCache>
                <c:formatCode>0.00</c:formatCode>
                <c:ptCount val="19"/>
                <c:pt idx="0">
                  <c:v>17485.929393164854</c:v>
                </c:pt>
                <c:pt idx="1">
                  <c:v>18607.105086960299</c:v>
                </c:pt>
                <c:pt idx="2">
                  <c:v>18690.276499000625</c:v>
                </c:pt>
                <c:pt idx="3">
                  <c:v>18324.376157791125</c:v>
                </c:pt>
                <c:pt idx="4">
                  <c:v>20147.160064102143</c:v>
                </c:pt>
                <c:pt idx="5">
                  <c:v>20839.839608477254</c:v>
                </c:pt>
                <c:pt idx="6">
                  <c:v>21232.321947670272</c:v>
                </c:pt>
                <c:pt idx="7">
                  <c:v>21690.285701619163</c:v>
                </c:pt>
                <c:pt idx="8">
                  <c:v>22656.566702057029</c:v>
                </c:pt>
                <c:pt idx="9">
                  <c:v>22930.448534902185</c:v>
                </c:pt>
                <c:pt idx="10">
                  <c:v>23374.064195149658</c:v>
                </c:pt>
                <c:pt idx="11">
                  <c:v>24189.243527694911</c:v>
                </c:pt>
                <c:pt idx="12">
                  <c:v>24866.134308006269</c:v>
                </c:pt>
                <c:pt idx="13">
                  <c:v>25608.551955549003</c:v>
                </c:pt>
                <c:pt idx="14">
                  <c:v>26499.985109749879</c:v>
                </c:pt>
                <c:pt idx="15">
                  <c:v>28418.132385268702</c:v>
                </c:pt>
                <c:pt idx="16">
                  <c:v>29366.309937499183</c:v>
                </c:pt>
                <c:pt idx="17">
                  <c:v>29656.229326596149</c:v>
                </c:pt>
                <c:pt idx="18">
                  <c:v>31127.84926258065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3-4273-8EDF-260543F4A125}"/>
            </c:ext>
          </c:extLst>
        </c:ser>
        <c:ser>
          <c:idx val="3"/>
          <c:order val="3"/>
          <c:tx>
            <c:strRef>
              <c:f>Taiwan!$G$1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Taiwan!$G$3:$G$21</c:f>
              <c:numCache>
                <c:formatCode>0.00</c:formatCode>
                <c:ptCount val="19"/>
                <c:pt idx="0">
                  <c:v>17150.508383775956</c:v>
                </c:pt>
                <c:pt idx="1">
                  <c:v>17719.149751196324</c:v>
                </c:pt>
                <c:pt idx="2">
                  <c:v>18306.644962334089</c:v>
                </c:pt>
                <c:pt idx="3">
                  <c:v>18913.619134254757</c:v>
                </c:pt>
                <c:pt idx="4">
                  <c:v>19540.718110372851</c:v>
                </c:pt>
                <c:pt idx="5">
                  <c:v>20188.609147653693</c:v>
                </c:pt>
                <c:pt idx="6">
                  <c:v>20857.981626599976</c:v>
                </c:pt>
                <c:pt idx="7">
                  <c:v>21549.547784778631</c:v>
                </c:pt>
                <c:pt idx="8">
                  <c:v>22264.043474668448</c:v>
                </c:pt>
                <c:pt idx="9">
                  <c:v>23002.228946634885</c:v>
                </c:pt>
                <c:pt idx="10">
                  <c:v>23764.889657865129</c:v>
                </c:pt>
                <c:pt idx="11">
                  <c:v>24552.837108124175</c:v>
                </c:pt>
                <c:pt idx="12">
                  <c:v>25366.909703221172</c:v>
                </c:pt>
                <c:pt idx="13">
                  <c:v>26207.973647104845</c:v>
                </c:pt>
                <c:pt idx="14">
                  <c:v>27076.923863537184</c:v>
                </c:pt>
                <c:pt idx="15">
                  <c:v>27974.68494832603</c:v>
                </c:pt>
                <c:pt idx="16">
                  <c:v>28902.212153129967</c:v>
                </c:pt>
                <c:pt idx="17">
                  <c:v>29860.492401882042</c:v>
                </c:pt>
                <c:pt idx="18">
                  <c:v>30850.545340914123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33-4273-8EDF-260543F4A125}"/>
            </c:ext>
          </c:extLst>
        </c:ser>
        <c:ser>
          <c:idx val="4"/>
          <c:order val="4"/>
          <c:tx>
            <c:strRef>
              <c:f>Singapore!$D$1</c:f>
              <c:strCache>
                <c:ptCount val="1"/>
                <c:pt idx="0">
                  <c:v>GDP per capita (constant 2015 US$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Singapore!$D$3:$D$21</c:f>
              <c:numCache>
                <c:formatCode>0.00</c:formatCode>
                <c:ptCount val="19"/>
                <c:pt idx="0">
                  <c:v>44159.41018205518</c:v>
                </c:pt>
                <c:pt idx="1">
                  <c:v>46178.813947019909</c:v>
                </c:pt>
                <c:pt idx="2">
                  <c:v>44601.579930269872</c:v>
                </c:pt>
                <c:pt idx="3">
                  <c:v>43331.87466389616</c:v>
                </c:pt>
                <c:pt idx="4">
                  <c:v>48752.051544185873</c:v>
                </c:pt>
                <c:pt idx="5">
                  <c:v>50713.532639359408</c:v>
                </c:pt>
                <c:pt idx="6">
                  <c:v>51679.352717333037</c:v>
                </c:pt>
                <c:pt idx="7">
                  <c:v>53298.972855828622</c:v>
                </c:pt>
                <c:pt idx="8">
                  <c:v>54681.933645825324</c:v>
                </c:pt>
                <c:pt idx="9">
                  <c:v>55645.606861460568</c:v>
                </c:pt>
                <c:pt idx="10">
                  <c:v>56986.785310291074</c:v>
                </c:pt>
                <c:pt idx="11">
                  <c:v>59485.301587392081</c:v>
                </c:pt>
                <c:pt idx="12">
                  <c:v>61250.347667230191</c:v>
                </c:pt>
                <c:pt idx="13">
                  <c:v>61345.529182006161</c:v>
                </c:pt>
                <c:pt idx="14">
                  <c:v>59189.703857430002</c:v>
                </c:pt>
                <c:pt idx="15">
                  <c:v>67731.261071171655</c:v>
                </c:pt>
                <c:pt idx="16">
                  <c:v>68218.805333561977</c:v>
                </c:pt>
                <c:pt idx="17">
                  <c:v>66167.359630360719</c:v>
                </c:pt>
                <c:pt idx="18">
                  <c:v>67706.833614973919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33-4273-8EDF-260543F4A125}"/>
            </c:ext>
          </c:extLst>
        </c:ser>
        <c:ser>
          <c:idx val="5"/>
          <c:order val="5"/>
          <c:tx>
            <c:strRef>
              <c:f>Singapore!$G$1</c:f>
              <c:strCache>
                <c:ptCount val="1"/>
                <c:pt idx="0">
                  <c:v>S-S model HDP per capita</c:v>
                </c:pt>
              </c:strCache>
            </c:strRef>
          </c:tx>
          <c:spPr>
            <a:ln w="28575" cap="rnd">
              <a:solidFill>
                <a:srgbClr val="FF0505"/>
              </a:solidFill>
              <a:round/>
            </a:ln>
            <a:effectLst/>
          </c:spPr>
          <c:marker>
            <c:symbol val="none"/>
          </c:marker>
          <c:cat>
            <c:numRef>
              <c:f>Taiwan!$B$3:$B$21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Singapore!$G$3:$G$20</c:f>
              <c:numCache>
                <c:formatCode>0.00</c:formatCode>
                <c:ptCount val="18"/>
                <c:pt idx="0">
                  <c:v>42963.733557599844</c:v>
                </c:pt>
                <c:pt idx="1">
                  <c:v>44161.463388876728</c:v>
                </c:pt>
                <c:pt idx="2">
                  <c:v>45392.583166276592</c:v>
                </c:pt>
                <c:pt idx="3">
                  <c:v>46658.023724511062</c:v>
                </c:pt>
                <c:pt idx="4">
                  <c:v>47958.741847817313</c:v>
                </c:pt>
                <c:pt idx="5">
                  <c:v>49295.72099337104</c:v>
                </c:pt>
                <c:pt idx="6">
                  <c:v>50669.972034866434</c:v>
                </c:pt>
                <c:pt idx="7">
                  <c:v>52082.534026825575</c:v>
                </c:pt>
                <c:pt idx="8">
                  <c:v>53534.474990214861</c:v>
                </c:pt>
                <c:pt idx="9">
                  <c:v>55026.892719962751</c:v>
                </c:pt>
                <c:pt idx="10">
                  <c:v>56560.915614989142</c:v>
                </c:pt>
                <c:pt idx="11">
                  <c:v>58137.703531374114</c:v>
                </c:pt>
                <c:pt idx="12">
                  <c:v>59758.44865931099</c:v>
                </c:pt>
                <c:pt idx="13">
                  <c:v>61424.376424506889</c:v>
                </c:pt>
                <c:pt idx="14">
                  <c:v>63136.746414712237</c:v>
                </c:pt>
                <c:pt idx="15">
                  <c:v>64896.853332079707</c:v>
                </c:pt>
                <c:pt idx="16">
                  <c:v>66706.027972072858</c:v>
                </c:pt>
                <c:pt idx="17">
                  <c:v>68565.638229664371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33-4273-8EDF-260543F4A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532463"/>
        <c:axId val="424527663"/>
      </c:lineChart>
      <c:catAx>
        <c:axId val="42453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27663"/>
        <c:crosses val="autoZero"/>
        <c:auto val="1"/>
        <c:lblAlgn val="ctr"/>
        <c:lblOffset val="100"/>
        <c:noMultiLvlLbl val="0"/>
      </c:catAx>
      <c:valAx>
        <c:axId val="424527663"/>
        <c:scaling>
          <c:orientation val="minMax"/>
          <c:max val="7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32463"/>
        <c:crosses val="autoZero"/>
        <c:crossBetween val="between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242131</xdr:colOff>
      <xdr:row>0</xdr:row>
      <xdr:rowOff>180886</xdr:rowOff>
    </xdr:from>
    <xdr:to>
      <xdr:col>19</xdr:col>
      <xdr:colOff>334710</xdr:colOff>
      <xdr:row>29</xdr:row>
      <xdr:rowOff>64093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24331D5-ECF2-8F33-35B4-78B0C50A0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166794</xdr:colOff>
      <xdr:row>33</xdr:row>
      <xdr:rowOff>49953</xdr:rowOff>
    </xdr:from>
    <xdr:to>
      <xdr:col>21</xdr:col>
      <xdr:colOff>550334</xdr:colOff>
      <xdr:row>61</xdr:row>
      <xdr:rowOff>135467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0D707D2-7766-8DA3-901E-5FDAFB1B9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242131</xdr:colOff>
      <xdr:row>0</xdr:row>
      <xdr:rowOff>180886</xdr:rowOff>
    </xdr:from>
    <xdr:to>
      <xdr:col>19</xdr:col>
      <xdr:colOff>334710</xdr:colOff>
      <xdr:row>29</xdr:row>
      <xdr:rowOff>64093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43DE4D9-A803-4069-8F1B-EA9DBDCB7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166794</xdr:colOff>
      <xdr:row>33</xdr:row>
      <xdr:rowOff>49953</xdr:rowOff>
    </xdr:from>
    <xdr:to>
      <xdr:col>21</xdr:col>
      <xdr:colOff>550334</xdr:colOff>
      <xdr:row>61</xdr:row>
      <xdr:rowOff>135467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B85B7A8-7FC2-4503-AE65-B153CE3C2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287866</xdr:colOff>
      <xdr:row>24</xdr:row>
      <xdr:rowOff>8466</xdr:rowOff>
    </xdr:from>
    <xdr:to>
      <xdr:col>22</xdr:col>
      <xdr:colOff>101600</xdr:colOff>
      <xdr:row>55</xdr:row>
      <xdr:rowOff>16934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0A15DF7-8895-DF30-3B14-06DC3D8B2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220133</xdr:colOff>
      <xdr:row>0</xdr:row>
      <xdr:rowOff>1</xdr:rowOff>
    </xdr:from>
    <xdr:to>
      <xdr:col>19</xdr:col>
      <xdr:colOff>364066</xdr:colOff>
      <xdr:row>21</xdr:row>
      <xdr:rowOff>143934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C9AC7848-8AB7-3AF2-F617-E2FEC4BF6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54462</xdr:colOff>
      <xdr:row>56</xdr:row>
      <xdr:rowOff>102345</xdr:rowOff>
    </xdr:from>
    <xdr:to>
      <xdr:col>23</xdr:col>
      <xdr:colOff>25399</xdr:colOff>
      <xdr:row>80</xdr:row>
      <xdr:rowOff>67733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5D49187-4825-450C-B4AB-C8B92C540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242131</xdr:colOff>
      <xdr:row>0</xdr:row>
      <xdr:rowOff>180885</xdr:rowOff>
    </xdr:from>
    <xdr:to>
      <xdr:col>23</xdr:col>
      <xdr:colOff>465667</xdr:colOff>
      <xdr:row>34</xdr:row>
      <xdr:rowOff>110066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C7805B2-EB0D-4710-9BBB-77330F9B8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42333</xdr:colOff>
      <xdr:row>81</xdr:row>
      <xdr:rowOff>135466</xdr:rowOff>
    </xdr:from>
    <xdr:to>
      <xdr:col>26</xdr:col>
      <xdr:colOff>465666</xdr:colOff>
      <xdr:row>110</xdr:row>
      <xdr:rowOff>84666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45405C9-DA9F-7272-25BD-DD1E63612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25</xdr:row>
      <xdr:rowOff>137160</xdr:rowOff>
    </xdr:from>
    <xdr:to>
      <xdr:col>6</xdr:col>
      <xdr:colOff>708660</xdr:colOff>
      <xdr:row>45</xdr:row>
      <xdr:rowOff>53340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1263903-D814-B7A9-5CED-9AD9FB5BD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838200</xdr:colOff>
      <xdr:row>44</xdr:row>
      <xdr:rowOff>190500</xdr:rowOff>
    </xdr:from>
    <xdr:to>
      <xdr:col>12</xdr:col>
      <xdr:colOff>121920</xdr:colOff>
      <xdr:row>63</xdr:row>
      <xdr:rowOff>38100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AF6F00D-365F-419A-9F37-6BA26D7E2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320040</xdr:colOff>
      <xdr:row>45</xdr:row>
      <xdr:rowOff>15240</xdr:rowOff>
    </xdr:from>
    <xdr:to>
      <xdr:col>17</xdr:col>
      <xdr:colOff>609600</xdr:colOff>
      <xdr:row>63</xdr:row>
      <xdr:rowOff>60960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41D6841F-6CF4-4C29-93B7-CEF80D613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853440</xdr:colOff>
      <xdr:row>26</xdr:row>
      <xdr:rowOff>22860</xdr:rowOff>
    </xdr:from>
    <xdr:to>
      <xdr:col>12</xdr:col>
      <xdr:colOff>137160</xdr:colOff>
      <xdr:row>44</xdr:row>
      <xdr:rowOff>99060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29008EE6-F8A9-48C9-BAA9-84D09E025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312420</xdr:colOff>
      <xdr:row>26</xdr:row>
      <xdr:rowOff>38100</xdr:rowOff>
    </xdr:from>
    <xdr:to>
      <xdr:col>17</xdr:col>
      <xdr:colOff>601980</xdr:colOff>
      <xdr:row>44</xdr:row>
      <xdr:rowOff>114300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B4908386-009A-4895-BC3A-031A1DA59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144780</xdr:rowOff>
    </xdr:from>
    <xdr:to>
      <xdr:col>14</xdr:col>
      <xdr:colOff>631370</xdr:colOff>
      <xdr:row>36</xdr:row>
      <xdr:rowOff>163286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0254D70-14F6-41FA-2E46-6E16695A6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%201st%20sememstr\Modelov&#225;n&#237;%20v%20ekonomii%20a%20managementu\druh&#233;%20soust&#345;ed&#283;n&#237;\New%20folder\&#21488;&#28771;GDP&#22283;&#20839;&#29983;&#29986;&#27611;&#38989;_&#36899;&#37782;&#23526;&#36074;&#20540;(2021&#28858;&#21443;&#32771;&#24180;_&#26032;&#33274;&#24163;&#30334;&#33836;&#20803;)A018103010-01342132.xlsx" TargetMode="External"/><Relationship Id="rId1" Type="http://schemas.openxmlformats.org/officeDocument/2006/relationships/externalLinkPath" Target="druh&#233;%20soust&#345;ed&#283;n&#237;/New%20folder/&#21488;&#28771;GDP&#22283;&#20839;&#29983;&#29986;&#27611;&#38989;_&#36899;&#37782;&#23526;&#36074;&#20540;(2021&#28858;&#21443;&#32771;&#24180;_&#26032;&#33274;&#24163;&#30334;&#33836;&#20803;)A018103010-013421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"/>
      <sheetName val="2015 base"/>
      <sheetName val="population"/>
    </sheetNames>
    <sheetDataSet>
      <sheetData sheetId="0"/>
      <sheetData sheetId="1">
        <row r="4">
          <cell r="B4">
            <v>17055080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2544-E814-4089-AB3C-526EA32F34A5}">
  <sheetPr>
    <pageSetUpPr fitToPage="1"/>
  </sheetPr>
  <dimension ref="A1:Q99"/>
  <sheetViews>
    <sheetView topLeftCell="B1" zoomScale="90" zoomScaleNormal="90" workbookViewId="0">
      <selection activeCell="G2" sqref="G2"/>
    </sheetView>
  </sheetViews>
  <sheetFormatPr defaultColWidth="8" defaultRowHeight="12.75" customHeight="1" x14ac:dyDescent="0.25"/>
  <cols>
    <col min="1" max="1" width="17.3984375" style="3" hidden="1" customWidth="1"/>
    <col min="2" max="2" width="9.5" style="3" customWidth="1"/>
    <col min="3" max="3" width="12.69921875" style="3" customWidth="1"/>
    <col min="4" max="4" width="19.296875" style="3" customWidth="1"/>
    <col min="5" max="5" width="13.296875" style="3" hidden="1" customWidth="1"/>
    <col min="6" max="6" width="17" style="3" customWidth="1"/>
    <col min="7" max="7" width="13.59765625" style="3" customWidth="1"/>
    <col min="8" max="16384" width="8" style="3"/>
  </cols>
  <sheetData>
    <row r="1" spans="1:7" ht="30" customHeight="1" x14ac:dyDescent="0.35">
      <c r="A1" s="4"/>
      <c r="B1" s="5"/>
      <c r="C1" s="42" t="s">
        <v>20</v>
      </c>
      <c r="D1" s="62" t="s">
        <v>8</v>
      </c>
      <c r="E1" s="38" t="s">
        <v>11</v>
      </c>
      <c r="F1" s="62" t="s">
        <v>21</v>
      </c>
      <c r="G1" s="62" t="s">
        <v>53</v>
      </c>
    </row>
    <row r="2" spans="1:7" ht="21.6" customHeight="1" x14ac:dyDescent="0.45">
      <c r="A2" s="7">
        <v>60</v>
      </c>
      <c r="B2" s="12">
        <v>2005</v>
      </c>
      <c r="C2" s="12">
        <v>0</v>
      </c>
      <c r="D2" s="41">
        <v>15147.721441761107</v>
      </c>
      <c r="E2" s="40">
        <v>14913564</v>
      </c>
      <c r="F2" s="49" t="s">
        <v>55</v>
      </c>
      <c r="G2" s="50" t="s">
        <v>56</v>
      </c>
    </row>
    <row r="3" spans="1:7" ht="13.35" customHeight="1" x14ac:dyDescent="0.25">
      <c r="A3" s="7">
        <v>61</v>
      </c>
      <c r="B3" s="8">
        <v>2006</v>
      </c>
      <c r="C3" s="8">
        <v>1</v>
      </c>
      <c r="D3" s="27">
        <v>16107.304250268831</v>
      </c>
      <c r="E3" s="39">
        <v>15220495</v>
      </c>
      <c r="F3" s="63">
        <f>LN(D3/$D$2)</f>
        <v>6.1422728489193015E-2</v>
      </c>
      <c r="G3" s="27">
        <f>$D$2*EXP($C$40*C3)</f>
        <v>15416.687578896324</v>
      </c>
    </row>
    <row r="4" spans="1:7" ht="13.35" customHeight="1" x14ac:dyDescent="0.25">
      <c r="A4" s="7">
        <v>62</v>
      </c>
      <c r="B4" s="8">
        <v>2007</v>
      </c>
      <c r="C4" s="8">
        <v>2</v>
      </c>
      <c r="D4" s="27">
        <v>16892.54285497405</v>
      </c>
      <c r="E4" s="39">
        <v>15505121</v>
      </c>
      <c r="F4" s="63">
        <f t="shared" ref="F4:F21" si="0">LN(D4/$D$2)</f>
        <v>0.10902215260368303</v>
      </c>
      <c r="G4" s="27">
        <f t="shared" ref="G4:G21" si="1">$D$2*EXP($C$40*C4)</f>
        <v>15690.429535497431</v>
      </c>
    </row>
    <row r="5" spans="1:7" ht="13.35" customHeight="1" x14ac:dyDescent="0.25">
      <c r="A5" s="7">
        <v>63</v>
      </c>
      <c r="B5" s="8">
        <v>2008</v>
      </c>
      <c r="C5" s="8">
        <v>3</v>
      </c>
      <c r="D5" s="27">
        <v>17190.64703332894</v>
      </c>
      <c r="E5" s="39">
        <v>15784817</v>
      </c>
      <c r="F5" s="63">
        <f t="shared" si="0"/>
        <v>0.12651533802653911</v>
      </c>
      <c r="G5" s="27">
        <f t="shared" si="1"/>
        <v>15969.03211202226</v>
      </c>
    </row>
    <row r="6" spans="1:7" ht="13.35" customHeight="1" x14ac:dyDescent="0.25">
      <c r="A6" s="7">
        <v>64</v>
      </c>
      <c r="B6" s="8">
        <v>2009</v>
      </c>
      <c r="C6" s="8">
        <v>4</v>
      </c>
      <c r="D6" s="27">
        <v>16272.808476671911</v>
      </c>
      <c r="E6" s="39">
        <v>16075128</v>
      </c>
      <c r="F6" s="63">
        <f t="shared" si="0"/>
        <v>7.164540245604932E-2</v>
      </c>
      <c r="G6" s="27">
        <f t="shared" si="1"/>
        <v>16252.581614663462</v>
      </c>
    </row>
    <row r="7" spans="1:7" ht="13.35" customHeight="1" x14ac:dyDescent="0.25">
      <c r="A7" s="7">
        <v>65</v>
      </c>
      <c r="B7" s="8">
        <v>2010</v>
      </c>
      <c r="C7" s="8">
        <v>5</v>
      </c>
      <c r="D7" s="27">
        <v>16665.9317825137</v>
      </c>
      <c r="E7" s="39">
        <v>16401413</v>
      </c>
      <c r="F7" s="63">
        <f t="shared" si="0"/>
        <v>9.551650197830526E-2</v>
      </c>
      <c r="G7" s="27">
        <f t="shared" si="1"/>
        <v>16541.165882084653</v>
      </c>
    </row>
    <row r="8" spans="1:7" ht="13.35" customHeight="1" x14ac:dyDescent="0.25">
      <c r="A8" s="7">
        <v>66</v>
      </c>
      <c r="B8" s="8">
        <v>2011</v>
      </c>
      <c r="C8" s="8">
        <v>6</v>
      </c>
      <c r="D8" s="27">
        <v>16926.284667443535</v>
      </c>
      <c r="E8" s="39">
        <v>16730895</v>
      </c>
      <c r="F8" s="63">
        <f t="shared" si="0"/>
        <v>0.1110175986991</v>
      </c>
      <c r="G8" s="27">
        <f t="shared" si="1"/>
        <v>16834.87431263128</v>
      </c>
    </row>
    <row r="9" spans="1:7" ht="13.35" customHeight="1" x14ac:dyDescent="0.25">
      <c r="A9" s="7">
        <v>67</v>
      </c>
      <c r="B9" s="8">
        <v>2012</v>
      </c>
      <c r="C9" s="8">
        <v>7</v>
      </c>
      <c r="D9" s="27">
        <v>16772.353922332768</v>
      </c>
      <c r="E9" s="39">
        <v>17042272</v>
      </c>
      <c r="F9" s="63">
        <f t="shared" si="0"/>
        <v>0.10188181030092756</v>
      </c>
      <c r="G9" s="27">
        <f t="shared" si="1"/>
        <v>17133.797892024675</v>
      </c>
    </row>
    <row r="10" spans="1:7" ht="13.35" customHeight="1" x14ac:dyDescent="0.25">
      <c r="A10" s="7">
        <v>68</v>
      </c>
      <c r="B10" s="8">
        <v>2013</v>
      </c>
      <c r="C10" s="8">
        <v>8</v>
      </c>
      <c r="D10" s="27">
        <v>16759.7808635642</v>
      </c>
      <c r="E10" s="39">
        <v>17372779</v>
      </c>
      <c r="F10" s="63">
        <f t="shared" si="0"/>
        <v>0.10113189924169619</v>
      </c>
      <c r="G10" s="27">
        <f t="shared" si="1"/>
        <v>17438.029221547829</v>
      </c>
    </row>
    <row r="11" spans="1:7" ht="13.35" customHeight="1" x14ac:dyDescent="0.25">
      <c r="A11" s="7">
        <v>69</v>
      </c>
      <c r="B11" s="8">
        <v>2014</v>
      </c>
      <c r="C11" s="8">
        <v>9</v>
      </c>
      <c r="D11" s="27">
        <v>17118.042557157849</v>
      </c>
      <c r="E11" s="39">
        <v>17704538</v>
      </c>
      <c r="F11" s="63">
        <f t="shared" si="0"/>
        <v>0.12228290680162926</v>
      </c>
      <c r="G11" s="27">
        <f t="shared" si="1"/>
        <v>17747.662546731652</v>
      </c>
    </row>
    <row r="12" spans="1:7" ht="13.35" customHeight="1" x14ac:dyDescent="0.25">
      <c r="A12" s="7">
        <v>70</v>
      </c>
      <c r="B12" s="8">
        <v>2015</v>
      </c>
      <c r="C12" s="8">
        <v>10</v>
      </c>
      <c r="D12" s="27">
        <v>17931.598767076761</v>
      </c>
      <c r="E12" s="39">
        <v>18029982</v>
      </c>
      <c r="F12" s="63">
        <f t="shared" si="0"/>
        <v>0.16871433003577002</v>
      </c>
      <c r="G12" s="27">
        <f t="shared" si="1"/>
        <v>18062.79378655057</v>
      </c>
    </row>
    <row r="13" spans="1:7" ht="13.35" customHeight="1" x14ac:dyDescent="0.25">
      <c r="A13" s="7">
        <v>71</v>
      </c>
      <c r="B13" s="8">
        <v>2016</v>
      </c>
      <c r="C13" s="8">
        <v>11</v>
      </c>
      <c r="D13" s="27">
        <v>18359.097810390373</v>
      </c>
      <c r="E13" s="39">
        <v>18354855</v>
      </c>
      <c r="F13" s="63">
        <f t="shared" si="0"/>
        <v>0.19227512435693783</v>
      </c>
      <c r="G13" s="27">
        <f t="shared" si="1"/>
        <v>18383.520563136557</v>
      </c>
    </row>
    <row r="14" spans="1:7" ht="13.35" customHeight="1" x14ac:dyDescent="0.25">
      <c r="A14" s="7">
        <v>72</v>
      </c>
      <c r="B14" s="8">
        <v>2017</v>
      </c>
      <c r="C14" s="8">
        <v>12</v>
      </c>
      <c r="D14" s="27">
        <v>19257.693068091088</v>
      </c>
      <c r="E14" s="39">
        <v>18653146</v>
      </c>
      <c r="F14" s="63">
        <f t="shared" si="0"/>
        <v>0.24006050003944701</v>
      </c>
      <c r="G14" s="27">
        <f t="shared" si="1"/>
        <v>18709.94223202076</v>
      </c>
    </row>
    <row r="15" spans="1:7" ht="13.35" customHeight="1" x14ac:dyDescent="0.25">
      <c r="A15" s="7">
        <v>73</v>
      </c>
      <c r="B15" s="8">
        <v>2018</v>
      </c>
      <c r="C15" s="8">
        <v>13</v>
      </c>
      <c r="D15" s="27">
        <v>19736.629526128501</v>
      </c>
      <c r="E15" s="39">
        <v>18929866</v>
      </c>
      <c r="F15" s="63">
        <f t="shared" si="0"/>
        <v>0.26462615530938416</v>
      </c>
      <c r="G15" s="27">
        <f t="shared" si="1"/>
        <v>19042.159912912084</v>
      </c>
    </row>
    <row r="16" spans="1:7" ht="13.35" customHeight="1" x14ac:dyDescent="0.25">
      <c r="A16" s="7">
        <v>74</v>
      </c>
      <c r="B16" s="8">
        <v>2019</v>
      </c>
      <c r="C16" s="8">
        <v>14</v>
      </c>
      <c r="D16" s="27">
        <v>20360.059922181354</v>
      </c>
      <c r="E16" s="39">
        <v>19191510</v>
      </c>
      <c r="F16" s="63">
        <f t="shared" si="0"/>
        <v>0.29572501405024426</v>
      </c>
      <c r="G16" s="27">
        <f t="shared" si="1"/>
        <v>19380.276521022322</v>
      </c>
    </row>
    <row r="17" spans="1:17" ht="13.35" customHeight="1" x14ac:dyDescent="0.25">
      <c r="A17" s="7">
        <v>75</v>
      </c>
      <c r="B17" s="8">
        <v>2020</v>
      </c>
      <c r="C17" s="8">
        <v>15</v>
      </c>
      <c r="D17" s="27">
        <v>19233.146954982902</v>
      </c>
      <c r="E17" s="39">
        <v>19411454</v>
      </c>
      <c r="F17" s="63">
        <f t="shared" si="0"/>
        <v>0.23878507365639448</v>
      </c>
      <c r="G17" s="27">
        <f t="shared" si="1"/>
        <v>19724.39679894748</v>
      </c>
    </row>
    <row r="18" spans="1:17" ht="13.35" customHeight="1" x14ac:dyDescent="0.25">
      <c r="A18" s="7">
        <v>76</v>
      </c>
      <c r="B18" s="8">
        <v>2021</v>
      </c>
      <c r="C18" s="8">
        <v>16</v>
      </c>
      <c r="D18" s="27">
        <v>20373.878304342365</v>
      </c>
      <c r="E18" s="39">
        <v>19617046</v>
      </c>
      <c r="F18" s="63">
        <f t="shared" si="0"/>
        <v>0.29640348430343921</v>
      </c>
      <c r="G18" s="27">
        <f t="shared" si="1"/>
        <v>20074.627349115188</v>
      </c>
    </row>
    <row r="19" spans="1:17" ht="13.35" customHeight="1" x14ac:dyDescent="0.25">
      <c r="A19" s="7">
        <v>77</v>
      </c>
      <c r="B19" s="8">
        <v>2022</v>
      </c>
      <c r="C19" s="8">
        <v>17</v>
      </c>
      <c r="D19" s="27">
        <v>20627.348651010972</v>
      </c>
      <c r="E19" s="39">
        <v>19839704</v>
      </c>
      <c r="F19" s="63">
        <f t="shared" si="0"/>
        <v>0.30876767896557883</v>
      </c>
      <c r="G19" s="27">
        <f t="shared" si="1"/>
        <v>20431.076666808262</v>
      </c>
    </row>
    <row r="20" spans="1:17" ht="13.35" customHeight="1" x14ac:dyDescent="0.25">
      <c r="A20" s="7">
        <v>78</v>
      </c>
      <c r="B20" s="8">
        <v>2023</v>
      </c>
      <c r="C20" s="8">
        <v>18</v>
      </c>
      <c r="D20" s="27">
        <v>20251.748551977889</v>
      </c>
      <c r="E20" s="39">
        <v>20055492</v>
      </c>
      <c r="F20" s="63">
        <f t="shared" si="0"/>
        <v>0.29039101731014855</v>
      </c>
      <c r="G20" s="27">
        <f t="shared" si="1"/>
        <v>20793.855173774653</v>
      </c>
    </row>
    <row r="21" spans="1:17" ht="13.2" customHeight="1" x14ac:dyDescent="0.25">
      <c r="A21" s="7">
        <v>79</v>
      </c>
      <c r="B21" s="8">
        <v>2024</v>
      </c>
      <c r="C21" s="8">
        <v>19</v>
      </c>
      <c r="D21" s="27">
        <v>20444.543067636238</v>
      </c>
      <c r="E21" s="39">
        <v>20278946</v>
      </c>
      <c r="F21" s="63">
        <f t="shared" si="0"/>
        <v>0.29986588346117293</v>
      </c>
      <c r="G21" s="27">
        <f t="shared" si="1"/>
        <v>21163.075252434155</v>
      </c>
    </row>
    <row r="22" spans="1:17" ht="13.35" customHeight="1" x14ac:dyDescent="0.25">
      <c r="A22" s="7">
        <v>80</v>
      </c>
    </row>
    <row r="23" spans="1:17" ht="13.35" customHeight="1" x14ac:dyDescent="0.3">
      <c r="A23" s="7">
        <v>81</v>
      </c>
      <c r="B23" t="s">
        <v>22</v>
      </c>
      <c r="C23"/>
      <c r="D23"/>
      <c r="E23"/>
      <c r="F23"/>
      <c r="G23"/>
      <c r="H23"/>
      <c r="I23"/>
      <c r="J23"/>
    </row>
    <row r="24" spans="1:17" ht="13.35" customHeight="1" thickBot="1" x14ac:dyDescent="0.35">
      <c r="A24" s="7">
        <v>82</v>
      </c>
      <c r="B24"/>
      <c r="C24"/>
      <c r="D24"/>
      <c r="E24"/>
      <c r="F24"/>
      <c r="G24"/>
      <c r="H24"/>
      <c r="I24"/>
      <c r="J24"/>
    </row>
    <row r="25" spans="1:17" ht="13.35" customHeight="1" x14ac:dyDescent="0.3">
      <c r="A25" s="7">
        <v>83</v>
      </c>
      <c r="B25" s="47" t="s">
        <v>23</v>
      </c>
      <c r="C25" s="47"/>
      <c r="D25"/>
      <c r="E25"/>
      <c r="F25"/>
      <c r="G25"/>
      <c r="H25"/>
      <c r="I25"/>
      <c r="J25"/>
    </row>
    <row r="26" spans="1:17" ht="13.35" customHeight="1" x14ac:dyDescent="0.3">
      <c r="A26" s="7">
        <v>84</v>
      </c>
      <c r="B26" t="s">
        <v>24</v>
      </c>
      <c r="C26">
        <v>0.98488547062239673</v>
      </c>
      <c r="D26"/>
      <c r="E26"/>
      <c r="F26"/>
      <c r="G26"/>
      <c r="H26"/>
      <c r="I26"/>
      <c r="J26"/>
    </row>
    <row r="27" spans="1:17" ht="13.35" customHeight="1" x14ac:dyDescent="0.3">
      <c r="A27" s="7">
        <v>85</v>
      </c>
      <c r="B27" t="s">
        <v>25</v>
      </c>
      <c r="C27">
        <v>0.9699993902431</v>
      </c>
      <c r="D27"/>
      <c r="E27"/>
      <c r="F27"/>
      <c r="G27"/>
      <c r="H27"/>
      <c r="I27"/>
      <c r="J27"/>
    </row>
    <row r="28" spans="1:17" ht="13.35" customHeight="1" x14ac:dyDescent="0.3">
      <c r="A28" s="7">
        <v>86</v>
      </c>
      <c r="B28" t="s">
        <v>26</v>
      </c>
      <c r="C28">
        <v>0.91444383468754453</v>
      </c>
      <c r="D28"/>
      <c r="E28"/>
      <c r="F28"/>
      <c r="G28"/>
      <c r="H28"/>
      <c r="I28"/>
      <c r="J28"/>
    </row>
    <row r="29" spans="1:17" ht="13.35" customHeight="1" x14ac:dyDescent="0.3">
      <c r="A29" s="7">
        <v>87</v>
      </c>
      <c r="B29" t="s">
        <v>27</v>
      </c>
      <c r="C29">
        <v>3.6258876550784677E-2</v>
      </c>
      <c r="D29"/>
      <c r="E29"/>
      <c r="F29"/>
      <c r="G29"/>
      <c r="H29"/>
      <c r="I29"/>
      <c r="J29"/>
    </row>
    <row r="30" spans="1:17" ht="13.35" customHeight="1" thickBot="1" x14ac:dyDescent="0.35">
      <c r="A30" s="7">
        <v>88</v>
      </c>
      <c r="B30" s="45" t="s">
        <v>28</v>
      </c>
      <c r="C30" s="45">
        <v>19</v>
      </c>
      <c r="D30"/>
      <c r="E30"/>
      <c r="F30"/>
      <c r="G30"/>
      <c r="H30"/>
      <c r="I30"/>
      <c r="J30"/>
      <c r="L30"/>
      <c r="M30"/>
      <c r="N30"/>
      <c r="O30"/>
      <c r="P30"/>
      <c r="Q30"/>
    </row>
    <row r="31" spans="1:17" ht="13.35" customHeight="1" x14ac:dyDescent="0.3">
      <c r="A31" s="7">
        <v>89</v>
      </c>
      <c r="B31"/>
      <c r="C31"/>
      <c r="D31"/>
      <c r="E31"/>
      <c r="F31"/>
      <c r="G31"/>
      <c r="H31"/>
      <c r="I31"/>
      <c r="J31"/>
      <c r="L31"/>
      <c r="M31"/>
      <c r="N31"/>
      <c r="O31"/>
      <c r="P31"/>
      <c r="Q31"/>
    </row>
    <row r="32" spans="1:17" ht="13.35" customHeight="1" thickBot="1" x14ac:dyDescent="0.35">
      <c r="A32" s="7">
        <v>90</v>
      </c>
      <c r="B32" t="s">
        <v>29</v>
      </c>
      <c r="C32"/>
      <c r="D32"/>
      <c r="E32"/>
      <c r="F32"/>
      <c r="G32"/>
      <c r="H32"/>
      <c r="I32"/>
      <c r="J32"/>
      <c r="L32"/>
      <c r="M32"/>
      <c r="N32"/>
      <c r="O32"/>
      <c r="P32"/>
      <c r="Q32"/>
    </row>
    <row r="33" spans="1:17" ht="13.35" customHeight="1" x14ac:dyDescent="0.3">
      <c r="A33" s="7">
        <v>91</v>
      </c>
      <c r="B33" s="46"/>
      <c r="C33" s="46" t="s">
        <v>34</v>
      </c>
      <c r="D33" s="46" t="s">
        <v>35</v>
      </c>
      <c r="E33" s="46" t="s">
        <v>36</v>
      </c>
      <c r="F33" s="46" t="s">
        <v>37</v>
      </c>
      <c r="G33" s="46" t="s">
        <v>38</v>
      </c>
      <c r="H33"/>
      <c r="I33"/>
      <c r="J33"/>
      <c r="L33"/>
      <c r="M33"/>
      <c r="N33"/>
      <c r="O33"/>
      <c r="P33"/>
      <c r="Q33"/>
    </row>
    <row r="34" spans="1:17" ht="13.35" customHeight="1" x14ac:dyDescent="0.3">
      <c r="A34" s="7">
        <v>92</v>
      </c>
      <c r="B34" t="s">
        <v>30</v>
      </c>
      <c r="C34">
        <v>1</v>
      </c>
      <c r="D34">
        <v>0.76514293422117441</v>
      </c>
      <c r="E34">
        <v>0.76514293422117441</v>
      </c>
      <c r="F34">
        <v>581.98780510986433</v>
      </c>
      <c r="G34">
        <v>1.3698790154892337E-14</v>
      </c>
      <c r="H34"/>
      <c r="I34"/>
      <c r="J34"/>
      <c r="L34"/>
      <c r="M34"/>
      <c r="N34"/>
      <c r="O34"/>
      <c r="P34"/>
      <c r="Q34"/>
    </row>
    <row r="35" spans="1:17" ht="13.35" customHeight="1" x14ac:dyDescent="0.3">
      <c r="A35" s="7">
        <v>93</v>
      </c>
      <c r="B35" t="s">
        <v>31</v>
      </c>
      <c r="C35">
        <v>18</v>
      </c>
      <c r="D35">
        <v>2.366471031705077E-2</v>
      </c>
      <c r="E35">
        <v>1.3147061287250427E-3</v>
      </c>
      <c r="F35"/>
      <c r="G35"/>
      <c r="H35"/>
      <c r="I35"/>
      <c r="J35"/>
      <c r="L35"/>
      <c r="M35"/>
      <c r="N35"/>
      <c r="O35"/>
      <c r="P35"/>
      <c r="Q35"/>
    </row>
    <row r="36" spans="1:17" s="14" customFormat="1" ht="13.35" customHeight="1" thickBot="1" x14ac:dyDescent="0.35">
      <c r="A36" s="11">
        <v>94</v>
      </c>
      <c r="B36" s="45" t="s">
        <v>32</v>
      </c>
      <c r="C36" s="45">
        <v>19</v>
      </c>
      <c r="D36" s="45">
        <v>0.78880764453822516</v>
      </c>
      <c r="E36" s="45"/>
      <c r="F36" s="45"/>
      <c r="G36" s="45"/>
      <c r="H36"/>
      <c r="I36"/>
      <c r="J36"/>
      <c r="L36"/>
      <c r="M36"/>
      <c r="N36"/>
      <c r="O36"/>
      <c r="P36"/>
      <c r="Q36"/>
    </row>
    <row r="37" spans="1:17" ht="13.35" customHeight="1" thickBot="1" x14ac:dyDescent="0.35">
      <c r="A37" s="7">
        <v>95</v>
      </c>
      <c r="B37"/>
      <c r="C37"/>
      <c r="D37"/>
      <c r="E37"/>
      <c r="F37"/>
      <c r="G37"/>
      <c r="H37"/>
      <c r="I37"/>
      <c r="J37"/>
    </row>
    <row r="38" spans="1:17" ht="13.35" customHeight="1" x14ac:dyDescent="0.3">
      <c r="A38" s="7">
        <v>96</v>
      </c>
      <c r="B38" s="46"/>
      <c r="C38" s="46" t="s">
        <v>39</v>
      </c>
      <c r="D38" s="46" t="s">
        <v>27</v>
      </c>
      <c r="E38" s="46" t="s">
        <v>40</v>
      </c>
      <c r="F38" s="46" t="s">
        <v>41</v>
      </c>
      <c r="G38" s="46" t="s">
        <v>42</v>
      </c>
      <c r="H38" s="46" t="s">
        <v>43</v>
      </c>
      <c r="I38" s="46" t="s">
        <v>44</v>
      </c>
      <c r="J38" s="46" t="s">
        <v>45</v>
      </c>
    </row>
    <row r="39" spans="1:17" ht="13.35" customHeight="1" x14ac:dyDescent="0.3">
      <c r="A39" s="7">
        <v>97</v>
      </c>
      <c r="B39" t="s">
        <v>33</v>
      </c>
      <c r="C39">
        <v>0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</row>
    <row r="40" spans="1:17" ht="13.35" customHeight="1" thickBot="1" x14ac:dyDescent="0.35">
      <c r="A40" s="7">
        <v>98</v>
      </c>
      <c r="B40" s="45" t="s">
        <v>46</v>
      </c>
      <c r="C40" s="45">
        <v>1.7600410997929052E-2</v>
      </c>
      <c r="D40" s="45">
        <v>7.2956815154098678E-4</v>
      </c>
      <c r="E40" s="45">
        <v>24.124423415075938</v>
      </c>
      <c r="F40" s="45">
        <v>3.7016106265029793E-15</v>
      </c>
      <c r="G40" s="45">
        <v>1.606764518849868E-2</v>
      </c>
      <c r="H40" s="45">
        <v>1.9133176807359424E-2</v>
      </c>
      <c r="I40" s="45">
        <v>1.606764518849868E-2</v>
      </c>
      <c r="J40" s="45">
        <v>1.9133176807359424E-2</v>
      </c>
    </row>
    <row r="41" spans="1:17" ht="13.35" customHeight="1" x14ac:dyDescent="0.3">
      <c r="A41" s="7">
        <v>99</v>
      </c>
      <c r="B41"/>
      <c r="C41"/>
      <c r="D41"/>
      <c r="E41"/>
      <c r="F41"/>
      <c r="G41"/>
      <c r="H41"/>
      <c r="I41"/>
      <c r="J41"/>
    </row>
    <row r="42" spans="1:17" ht="13.35" customHeight="1" x14ac:dyDescent="0.3">
      <c r="A42" s="7">
        <v>100</v>
      </c>
      <c r="B42"/>
      <c r="C42"/>
      <c r="D42"/>
      <c r="E42"/>
      <c r="F42"/>
      <c r="G42"/>
      <c r="H42"/>
      <c r="I42"/>
      <c r="J42"/>
    </row>
    <row r="43" spans="1:17" ht="13.35" customHeight="1" x14ac:dyDescent="0.3">
      <c r="A43" s="7">
        <v>101</v>
      </c>
      <c r="B43"/>
      <c r="C43"/>
      <c r="D43"/>
      <c r="E43"/>
      <c r="F43"/>
      <c r="G43"/>
      <c r="H43"/>
      <c r="I43"/>
      <c r="J43"/>
    </row>
    <row r="44" spans="1:17" ht="13.35" customHeight="1" x14ac:dyDescent="0.3">
      <c r="A44" s="7">
        <v>102</v>
      </c>
      <c r="B44" t="s">
        <v>50</v>
      </c>
      <c r="C44"/>
      <c r="D44"/>
      <c r="E44"/>
      <c r="F44"/>
      <c r="G44"/>
      <c r="H44"/>
      <c r="I44"/>
      <c r="J44"/>
    </row>
    <row r="45" spans="1:17" ht="13.35" customHeight="1" thickBot="1" x14ac:dyDescent="0.35">
      <c r="A45" s="7">
        <v>103</v>
      </c>
      <c r="B45"/>
      <c r="C45"/>
      <c r="D45"/>
      <c r="E45"/>
      <c r="F45"/>
      <c r="G45"/>
      <c r="H45"/>
      <c r="I45"/>
      <c r="J45"/>
    </row>
    <row r="46" spans="1:17" ht="13.35" customHeight="1" x14ac:dyDescent="0.3">
      <c r="A46" s="7">
        <v>104</v>
      </c>
      <c r="B46" s="46" t="s">
        <v>51</v>
      </c>
      <c r="C46" s="46" t="s">
        <v>54</v>
      </c>
      <c r="D46" s="66" t="s">
        <v>59</v>
      </c>
      <c r="E46"/>
      <c r="F46"/>
      <c r="G46"/>
      <c r="H46"/>
      <c r="I46"/>
      <c r="J46"/>
    </row>
    <row r="47" spans="1:17" ht="13.35" customHeight="1" x14ac:dyDescent="0.3">
      <c r="A47" s="7">
        <v>105</v>
      </c>
      <c r="B47">
        <v>1</v>
      </c>
      <c r="C47">
        <v>1.7600410997929052E-2</v>
      </c>
      <c r="E47"/>
      <c r="F47"/>
      <c r="G47"/>
      <c r="H47"/>
      <c r="I47"/>
      <c r="J47"/>
    </row>
    <row r="48" spans="1:17" ht="13.35" customHeight="1" x14ac:dyDescent="0.3">
      <c r="A48" s="7">
        <v>106</v>
      </c>
      <c r="B48">
        <v>2</v>
      </c>
      <c r="C48">
        <v>3.5200821995858105E-2</v>
      </c>
      <c r="E48"/>
      <c r="F48"/>
      <c r="G48"/>
      <c r="H48"/>
      <c r="I48"/>
      <c r="J48"/>
    </row>
    <row r="49" spans="1:17" ht="13.35" customHeight="1" x14ac:dyDescent="0.3">
      <c r="A49" s="7">
        <v>107</v>
      </c>
      <c r="B49">
        <v>3</v>
      </c>
      <c r="C49">
        <v>5.2801232993787153E-2</v>
      </c>
      <c r="E49"/>
      <c r="F49"/>
      <c r="G49"/>
      <c r="H49"/>
      <c r="I49"/>
      <c r="J49"/>
    </row>
    <row r="50" spans="1:17" ht="13.35" customHeight="1" x14ac:dyDescent="0.3">
      <c r="A50" s="7">
        <v>108</v>
      </c>
      <c r="B50">
        <v>4</v>
      </c>
      <c r="C50">
        <v>7.0401643991716209E-2</v>
      </c>
      <c r="E50"/>
      <c r="F50"/>
      <c r="G50"/>
      <c r="H50"/>
      <c r="I50"/>
      <c r="J50"/>
    </row>
    <row r="51" spans="1:17" ht="13.35" customHeight="1" x14ac:dyDescent="0.3">
      <c r="A51" s="7">
        <v>109</v>
      </c>
      <c r="B51">
        <v>5</v>
      </c>
      <c r="C51">
        <v>8.8002054989645265E-2</v>
      </c>
      <c r="E51"/>
      <c r="F51"/>
      <c r="G51"/>
      <c r="H51"/>
      <c r="I51"/>
      <c r="J51"/>
    </row>
    <row r="52" spans="1:17" ht="13.35" customHeight="1" x14ac:dyDescent="0.3">
      <c r="A52" s="7">
        <v>110</v>
      </c>
      <c r="B52">
        <v>6</v>
      </c>
      <c r="C52">
        <v>0.10560246598757431</v>
      </c>
      <c r="E52"/>
      <c r="F52"/>
      <c r="G52"/>
      <c r="H52"/>
      <c r="I52"/>
      <c r="J52"/>
    </row>
    <row r="53" spans="1:17" ht="13.35" customHeight="1" x14ac:dyDescent="0.3">
      <c r="A53" s="7">
        <v>111</v>
      </c>
      <c r="B53">
        <v>7</v>
      </c>
      <c r="C53">
        <v>0.12320287698550336</v>
      </c>
      <c r="E53"/>
      <c r="F53"/>
      <c r="G53"/>
      <c r="H53"/>
      <c r="I53"/>
      <c r="J53"/>
    </row>
    <row r="54" spans="1:17" ht="13.35" customHeight="1" x14ac:dyDescent="0.3">
      <c r="A54" s="7">
        <v>112</v>
      </c>
      <c r="B54">
        <v>8</v>
      </c>
      <c r="C54">
        <v>0.14080328798343242</v>
      </c>
      <c r="E54"/>
      <c r="F54"/>
      <c r="G54"/>
      <c r="H54"/>
      <c r="I54"/>
      <c r="J54"/>
    </row>
    <row r="55" spans="1:17" ht="13.2" customHeight="1" x14ac:dyDescent="0.3">
      <c r="A55" s="7">
        <v>113</v>
      </c>
      <c r="B55">
        <v>9</v>
      </c>
      <c r="C55">
        <v>0.15840369898136147</v>
      </c>
      <c r="E55"/>
      <c r="F55"/>
      <c r="G55"/>
      <c r="H55"/>
      <c r="I55"/>
      <c r="J55"/>
    </row>
    <row r="56" spans="1:17" ht="12.75" customHeight="1" x14ac:dyDescent="0.3">
      <c r="B56">
        <v>10</v>
      </c>
      <c r="C56">
        <v>0.17600410997929053</v>
      </c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12" customHeight="1" x14ac:dyDescent="0.3">
      <c r="B57">
        <v>11</v>
      </c>
      <c r="C57">
        <v>0.19360452097721959</v>
      </c>
      <c r="E57"/>
      <c r="F57"/>
      <c r="G57"/>
      <c r="H57"/>
      <c r="I57"/>
      <c r="J57"/>
      <c r="L57"/>
      <c r="M57"/>
      <c r="N57"/>
      <c r="O57"/>
      <c r="P57"/>
      <c r="Q57"/>
    </row>
    <row r="58" spans="1:17" ht="16.8" customHeight="1" x14ac:dyDescent="0.3">
      <c r="B58">
        <v>12</v>
      </c>
      <c r="C58">
        <v>0.21120493197514861</v>
      </c>
      <c r="E58"/>
      <c r="F58"/>
      <c r="G58"/>
      <c r="H58"/>
      <c r="I58"/>
      <c r="J58"/>
      <c r="K58"/>
      <c r="L58"/>
      <c r="M58"/>
    </row>
    <row r="59" spans="1:17" ht="12.75" customHeight="1" x14ac:dyDescent="0.3">
      <c r="B59">
        <v>13</v>
      </c>
      <c r="C59">
        <v>0.22880534297307767</v>
      </c>
      <c r="E59"/>
      <c r="F59"/>
      <c r="G59"/>
      <c r="H59"/>
      <c r="I59"/>
      <c r="J59"/>
      <c r="K59"/>
      <c r="L59"/>
      <c r="M59"/>
    </row>
    <row r="60" spans="1:17" ht="12.75" customHeight="1" x14ac:dyDescent="0.3">
      <c r="B60">
        <v>14</v>
      </c>
      <c r="C60">
        <v>0.24640575397100672</v>
      </c>
      <c r="E60"/>
      <c r="F60"/>
      <c r="G60"/>
      <c r="H60"/>
      <c r="I60"/>
      <c r="J60"/>
      <c r="K60"/>
      <c r="L60"/>
      <c r="M60"/>
    </row>
    <row r="61" spans="1:17" ht="12.75" customHeight="1" x14ac:dyDescent="0.3">
      <c r="B61">
        <v>15</v>
      </c>
      <c r="C61">
        <v>0.26400616496893581</v>
      </c>
      <c r="E61"/>
      <c r="F61"/>
      <c r="G61"/>
      <c r="H61"/>
      <c r="I61"/>
      <c r="J61"/>
      <c r="K61"/>
      <c r="L61"/>
      <c r="M61"/>
    </row>
    <row r="62" spans="1:17" ht="12.75" customHeight="1" x14ac:dyDescent="0.3">
      <c r="B62">
        <v>16</v>
      </c>
      <c r="C62">
        <v>0.28160657596686484</v>
      </c>
      <c r="E62"/>
      <c r="F62"/>
      <c r="G62"/>
      <c r="H62"/>
      <c r="I62"/>
      <c r="J62"/>
      <c r="K62"/>
      <c r="L62"/>
      <c r="M62"/>
    </row>
    <row r="63" spans="1:17" ht="12.75" customHeight="1" x14ac:dyDescent="0.3">
      <c r="B63">
        <v>17</v>
      </c>
      <c r="C63">
        <v>0.29920698696479386</v>
      </c>
      <c r="E63"/>
      <c r="F63"/>
      <c r="G63"/>
      <c r="H63"/>
      <c r="I63"/>
      <c r="J63"/>
      <c r="K63"/>
      <c r="L63"/>
      <c r="M63"/>
    </row>
    <row r="64" spans="1:17" ht="12.75" customHeight="1" x14ac:dyDescent="0.3">
      <c r="B64">
        <v>18</v>
      </c>
      <c r="C64">
        <v>0.31680739796272295</v>
      </c>
      <c r="E64"/>
      <c r="F64"/>
      <c r="G64"/>
      <c r="H64"/>
      <c r="I64"/>
      <c r="J64"/>
      <c r="K64"/>
      <c r="L64"/>
      <c r="M64"/>
    </row>
    <row r="65" spans="2:13" ht="12.75" customHeight="1" thickBot="1" x14ac:dyDescent="0.35">
      <c r="B65" s="45">
        <v>19</v>
      </c>
      <c r="C65" s="45">
        <v>0.33440780896065198</v>
      </c>
      <c r="E65"/>
      <c r="F65"/>
      <c r="G65"/>
      <c r="H65"/>
      <c r="I65"/>
      <c r="J65"/>
      <c r="K65"/>
      <c r="L65"/>
      <c r="M65"/>
    </row>
    <row r="66" spans="2:13" ht="12.75" customHeight="1" x14ac:dyDescent="0.3">
      <c r="B66" s="3">
        <v>20</v>
      </c>
      <c r="J66"/>
      <c r="K66"/>
      <c r="L66"/>
      <c r="M66"/>
    </row>
    <row r="67" spans="2:13" ht="12.75" customHeight="1" x14ac:dyDescent="0.3">
      <c r="B67" s="3">
        <v>21</v>
      </c>
      <c r="J67"/>
      <c r="K67"/>
      <c r="L67"/>
      <c r="M67"/>
    </row>
    <row r="68" spans="2:13" ht="12.75" customHeight="1" x14ac:dyDescent="0.3">
      <c r="B68" s="3">
        <v>22</v>
      </c>
      <c r="J68"/>
      <c r="K68"/>
      <c r="L68"/>
      <c r="M68"/>
    </row>
    <row r="69" spans="2:13" ht="12.75" customHeight="1" x14ac:dyDescent="0.3">
      <c r="B69" s="3">
        <v>23</v>
      </c>
      <c r="J69"/>
      <c r="K69"/>
      <c r="L69"/>
      <c r="M69"/>
    </row>
    <row r="70" spans="2:13" ht="12.75" customHeight="1" x14ac:dyDescent="0.3">
      <c r="B70" s="3">
        <v>24</v>
      </c>
      <c r="J70"/>
      <c r="K70"/>
      <c r="L70"/>
      <c r="M70"/>
    </row>
    <row r="71" spans="2:13" ht="12.75" customHeight="1" x14ac:dyDescent="0.3">
      <c r="B71" s="3">
        <v>25</v>
      </c>
      <c r="J71"/>
      <c r="K71"/>
      <c r="L71"/>
      <c r="M71"/>
    </row>
    <row r="72" spans="2:13" ht="12.75" customHeight="1" x14ac:dyDescent="0.25">
      <c r="B72" s="3">
        <v>26</v>
      </c>
    </row>
    <row r="73" spans="2:13" ht="12.75" customHeight="1" x14ac:dyDescent="0.25">
      <c r="B73" s="3">
        <v>27</v>
      </c>
    </row>
    <row r="74" spans="2:13" ht="12.75" customHeight="1" x14ac:dyDescent="0.25">
      <c r="B74" s="3">
        <v>28</v>
      </c>
    </row>
    <row r="75" spans="2:13" ht="12.75" customHeight="1" x14ac:dyDescent="0.25">
      <c r="B75" s="3">
        <v>29</v>
      </c>
    </row>
    <row r="76" spans="2:13" ht="12.75" customHeight="1" x14ac:dyDescent="0.25">
      <c r="B76" s="3">
        <v>30</v>
      </c>
    </row>
    <row r="77" spans="2:13" ht="12.75" customHeight="1" x14ac:dyDescent="0.25">
      <c r="B77" s="3">
        <v>31</v>
      </c>
    </row>
    <row r="78" spans="2:13" ht="12.75" customHeight="1" x14ac:dyDescent="0.25">
      <c r="B78" s="3">
        <v>32</v>
      </c>
    </row>
    <row r="79" spans="2:13" ht="12.75" customHeight="1" x14ac:dyDescent="0.25">
      <c r="B79" s="3">
        <v>33</v>
      </c>
    </row>
    <row r="80" spans="2:13" ht="12.75" customHeight="1" x14ac:dyDescent="0.25">
      <c r="B80" s="3">
        <v>34</v>
      </c>
    </row>
    <row r="81" spans="2:4" ht="12.75" customHeight="1" x14ac:dyDescent="0.3">
      <c r="B81" s="3">
        <v>35</v>
      </c>
      <c r="D81">
        <v>4.382231749126396E-2</v>
      </c>
    </row>
    <row r="82" spans="2:4" ht="12.75" customHeight="1" x14ac:dyDescent="0.3">
      <c r="B82" s="3">
        <v>36</v>
      </c>
      <c r="D82">
        <v>7.382133060782492E-2</v>
      </c>
    </row>
    <row r="83" spans="2:4" ht="12.75" customHeight="1" x14ac:dyDescent="0.3">
      <c r="B83" s="3">
        <v>37</v>
      </c>
      <c r="D83">
        <v>7.3714105032751956E-2</v>
      </c>
    </row>
    <row r="84" spans="2:4" ht="12.75" customHeight="1" x14ac:dyDescent="0.3">
      <c r="B84" s="3">
        <v>38</v>
      </c>
      <c r="D84">
        <v>1.2437584643331112E-3</v>
      </c>
    </row>
    <row r="85" spans="2:4" ht="12.75" customHeight="1" x14ac:dyDescent="0.3">
      <c r="B85" s="3">
        <v>39</v>
      </c>
      <c r="D85">
        <v>7.5144469886599952E-3</v>
      </c>
    </row>
    <row r="86" spans="2:4" ht="12.75" customHeight="1" x14ac:dyDescent="0.3">
      <c r="B86" s="3">
        <v>40</v>
      </c>
      <c r="D86">
        <v>5.4151327115256886E-3</v>
      </c>
    </row>
    <row r="87" spans="2:4" ht="12.75" customHeight="1" x14ac:dyDescent="0.3">
      <c r="B87" s="3">
        <v>41</v>
      </c>
      <c r="D87">
        <v>-2.1321066684575798E-2</v>
      </c>
    </row>
    <row r="88" spans="2:4" ht="12.75" customHeight="1" x14ac:dyDescent="0.3">
      <c r="B88" s="3">
        <v>42</v>
      </c>
      <c r="D88">
        <v>-3.967138874173623E-2</v>
      </c>
    </row>
    <row r="89" spans="2:4" ht="12.75" customHeight="1" x14ac:dyDescent="0.3">
      <c r="B89" s="3">
        <v>43</v>
      </c>
      <c r="D89">
        <v>-3.6120792179732214E-2</v>
      </c>
    </row>
    <row r="90" spans="2:4" ht="12.75" customHeight="1" x14ac:dyDescent="0.3">
      <c r="B90" s="3">
        <v>44</v>
      </c>
      <c r="D90">
        <v>-7.289779943520508E-3</v>
      </c>
    </row>
    <row r="91" spans="2:4" ht="12.75" customHeight="1" x14ac:dyDescent="0.3">
      <c r="B91" s="3">
        <v>45</v>
      </c>
      <c r="D91">
        <v>-1.3293966202817531E-3</v>
      </c>
    </row>
    <row r="92" spans="2:4" ht="12.75" customHeight="1" x14ac:dyDescent="0.3">
      <c r="B92" s="3">
        <v>46</v>
      </c>
      <c r="D92">
        <v>2.8855568064298398E-2</v>
      </c>
    </row>
    <row r="93" spans="2:4" ht="12.75" customHeight="1" x14ac:dyDescent="0.3">
      <c r="B93" s="3">
        <v>47</v>
      </c>
      <c r="D93">
        <v>3.582081233630649E-2</v>
      </c>
    </row>
    <row r="94" spans="2:4" ht="12.75" customHeight="1" x14ac:dyDescent="0.3">
      <c r="B94" s="3">
        <v>48</v>
      </c>
      <c r="D94">
        <v>4.9319260079237537E-2</v>
      </c>
    </row>
    <row r="95" spans="2:4" ht="12.75" customHeight="1" x14ac:dyDescent="0.3">
      <c r="B95" s="3">
        <v>49</v>
      </c>
      <c r="D95">
        <v>-2.5221091312541327E-2</v>
      </c>
    </row>
    <row r="96" spans="2:4" ht="12.75" customHeight="1" x14ac:dyDescent="0.3">
      <c r="B96" s="3">
        <v>50</v>
      </c>
      <c r="D96">
        <v>1.4796908336574377E-2</v>
      </c>
    </row>
    <row r="97" spans="2:4" ht="12.75" customHeight="1" x14ac:dyDescent="0.3">
      <c r="B97" s="3">
        <v>51</v>
      </c>
      <c r="D97">
        <v>9.560692000784965E-3</v>
      </c>
    </row>
    <row r="98" spans="2:4" ht="12.75" customHeight="1" x14ac:dyDescent="0.3">
      <c r="B98" s="3">
        <v>52</v>
      </c>
      <c r="D98">
        <v>-2.64163806525744E-2</v>
      </c>
    </row>
    <row r="99" spans="2:4" ht="12.75" customHeight="1" thickBot="1" x14ac:dyDescent="0.35">
      <c r="B99" s="3">
        <v>53</v>
      </c>
      <c r="D99" s="45">
        <v>-3.4541925499479043E-2</v>
      </c>
    </row>
  </sheetData>
  <pageMargins left="0.1" right="0.1" top="0.1" bottom="0.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2EAE-F89E-4864-B09A-F52978CA7FBA}">
  <sheetPr>
    <pageSetUpPr fitToPage="1"/>
  </sheetPr>
  <dimension ref="A1:Q99"/>
  <sheetViews>
    <sheetView topLeftCell="B1" zoomScale="90" zoomScaleNormal="90" workbookViewId="0">
      <selection activeCell="D46" sqref="D46"/>
    </sheetView>
  </sheetViews>
  <sheetFormatPr defaultColWidth="8" defaultRowHeight="12.75" customHeight="1" x14ac:dyDescent="0.25"/>
  <cols>
    <col min="1" max="1" width="17.3984375" style="3" hidden="1" customWidth="1"/>
    <col min="2" max="2" width="9.5" style="3" customWidth="1"/>
    <col min="3" max="3" width="12.69921875" style="3" customWidth="1"/>
    <col min="4" max="4" width="20.59765625" style="3" customWidth="1"/>
    <col min="5" max="5" width="12.3984375" style="3" hidden="1" customWidth="1"/>
    <col min="6" max="6" width="17" style="3" customWidth="1"/>
    <col min="7" max="7" width="13.59765625" style="3" customWidth="1"/>
    <col min="8" max="16384" width="8" style="3"/>
  </cols>
  <sheetData>
    <row r="1" spans="1:7" ht="30" customHeight="1" x14ac:dyDescent="0.35">
      <c r="A1" s="4"/>
      <c r="B1" s="5"/>
      <c r="C1" s="42" t="s">
        <v>20</v>
      </c>
      <c r="D1" s="6" t="s">
        <v>8</v>
      </c>
      <c r="E1" s="38" t="s">
        <v>11</v>
      </c>
      <c r="F1" s="6" t="s">
        <v>21</v>
      </c>
      <c r="G1" s="6" t="s">
        <v>53</v>
      </c>
    </row>
    <row r="2" spans="1:7" ht="21.6" customHeight="1" x14ac:dyDescent="0.45">
      <c r="A2" s="7">
        <v>60</v>
      </c>
      <c r="B2" s="12">
        <v>2005</v>
      </c>
      <c r="C2" s="12">
        <v>0</v>
      </c>
      <c r="D2" s="41">
        <v>16600.115804208392</v>
      </c>
      <c r="E2" s="40">
        <v>14913564</v>
      </c>
      <c r="F2" s="49" t="s">
        <v>55</v>
      </c>
      <c r="G2" s="50" t="s">
        <v>56</v>
      </c>
    </row>
    <row r="3" spans="1:7" ht="13.35" customHeight="1" x14ac:dyDescent="0.25">
      <c r="A3" s="7">
        <v>61</v>
      </c>
      <c r="B3" s="8">
        <v>2006</v>
      </c>
      <c r="C3" s="8">
        <v>1</v>
      </c>
      <c r="D3" s="27">
        <v>17485.929393164854</v>
      </c>
      <c r="E3" s="39">
        <v>15220495</v>
      </c>
      <c r="F3" s="43">
        <f>LN(D3/$D$2)</f>
        <v>5.198685134863109E-2</v>
      </c>
      <c r="G3" s="10">
        <f>$D$2*EXP($C$40*C3)</f>
        <v>17150.508383775956</v>
      </c>
    </row>
    <row r="4" spans="1:7" ht="13.35" customHeight="1" x14ac:dyDescent="0.25">
      <c r="A4" s="7">
        <v>62</v>
      </c>
      <c r="B4" s="8">
        <v>2007</v>
      </c>
      <c r="C4" s="8">
        <v>2</v>
      </c>
      <c r="D4" s="27">
        <v>18607.105086960299</v>
      </c>
      <c r="E4" s="39">
        <v>15505121</v>
      </c>
      <c r="F4" s="43">
        <f t="shared" ref="F4:F21" si="0">LN(D4/$D$2)</f>
        <v>0.11413383020535225</v>
      </c>
      <c r="G4" s="10">
        <f t="shared" ref="G4:G21" si="1">$D$2*EXP($C$40*C4)</f>
        <v>17719.149751196324</v>
      </c>
    </row>
    <row r="5" spans="1:7" ht="13.35" customHeight="1" x14ac:dyDescent="0.25">
      <c r="A5" s="7">
        <v>63</v>
      </c>
      <c r="B5" s="8">
        <v>2008</v>
      </c>
      <c r="C5" s="8">
        <v>3</v>
      </c>
      <c r="D5" s="27">
        <v>18690.276499000625</v>
      </c>
      <c r="E5" s="39">
        <v>15784817</v>
      </c>
      <c r="F5" s="43">
        <f t="shared" si="0"/>
        <v>0.11859374381676532</v>
      </c>
      <c r="G5" s="10">
        <f t="shared" si="1"/>
        <v>18306.644962334089</v>
      </c>
    </row>
    <row r="6" spans="1:7" ht="13.35" customHeight="1" x14ac:dyDescent="0.25">
      <c r="A6" s="7">
        <v>64</v>
      </c>
      <c r="B6" s="8">
        <v>2009</v>
      </c>
      <c r="C6" s="8">
        <v>4</v>
      </c>
      <c r="D6" s="27">
        <v>18324.376157791125</v>
      </c>
      <c r="E6" s="39">
        <v>16075128</v>
      </c>
      <c r="F6" s="43">
        <f t="shared" si="0"/>
        <v>9.8822532466891364E-2</v>
      </c>
      <c r="G6" s="10">
        <f t="shared" si="1"/>
        <v>18913.619134254757</v>
      </c>
    </row>
    <row r="7" spans="1:7" ht="13.35" customHeight="1" x14ac:dyDescent="0.25">
      <c r="A7" s="7">
        <v>65</v>
      </c>
      <c r="B7" s="8">
        <v>2010</v>
      </c>
      <c r="C7" s="8">
        <v>5</v>
      </c>
      <c r="D7" s="27">
        <v>20147.160064102143</v>
      </c>
      <c r="E7" s="39">
        <v>16401413</v>
      </c>
      <c r="F7" s="43">
        <f t="shared" si="0"/>
        <v>0.19365366721766439</v>
      </c>
      <c r="G7" s="10">
        <f t="shared" si="1"/>
        <v>19540.718110372851</v>
      </c>
    </row>
    <row r="8" spans="1:7" ht="13.35" customHeight="1" x14ac:dyDescent="0.25">
      <c r="A8" s="7">
        <v>66</v>
      </c>
      <c r="B8" s="8">
        <v>2011</v>
      </c>
      <c r="C8" s="8">
        <v>6</v>
      </c>
      <c r="D8" s="27">
        <v>20839.839608477254</v>
      </c>
      <c r="E8" s="39">
        <v>16730895</v>
      </c>
      <c r="F8" s="43">
        <f t="shared" si="0"/>
        <v>0.22745684902998686</v>
      </c>
      <c r="G8" s="10">
        <f t="shared" si="1"/>
        <v>20188.609147653693</v>
      </c>
    </row>
    <row r="9" spans="1:7" ht="13.35" customHeight="1" x14ac:dyDescent="0.25">
      <c r="A9" s="7">
        <v>67</v>
      </c>
      <c r="B9" s="8">
        <v>2012</v>
      </c>
      <c r="C9" s="8">
        <v>7</v>
      </c>
      <c r="D9" s="27">
        <v>21232.321947670272</v>
      </c>
      <c r="E9" s="39">
        <v>17042272</v>
      </c>
      <c r="F9" s="43">
        <f t="shared" si="0"/>
        <v>0.24611496930242086</v>
      </c>
      <c r="G9" s="10">
        <f t="shared" si="1"/>
        <v>20857.981626599976</v>
      </c>
    </row>
    <row r="10" spans="1:7" ht="13.35" customHeight="1" x14ac:dyDescent="0.25">
      <c r="A10" s="7">
        <v>68</v>
      </c>
      <c r="B10" s="8">
        <v>2013</v>
      </c>
      <c r="C10" s="8">
        <v>8</v>
      </c>
      <c r="D10" s="27">
        <v>21690.285701619163</v>
      </c>
      <c r="E10" s="39">
        <v>17372779</v>
      </c>
      <c r="F10" s="43">
        <f t="shared" si="0"/>
        <v>0.26745482530003539</v>
      </c>
      <c r="G10" s="10">
        <f t="shared" si="1"/>
        <v>21549.547784778631</v>
      </c>
    </row>
    <row r="11" spans="1:7" ht="13.35" customHeight="1" x14ac:dyDescent="0.25">
      <c r="A11" s="7">
        <v>69</v>
      </c>
      <c r="B11" s="8">
        <v>2014</v>
      </c>
      <c r="C11" s="8">
        <v>9</v>
      </c>
      <c r="D11" s="27">
        <v>22656.566702057029</v>
      </c>
      <c r="E11" s="39">
        <v>17704538</v>
      </c>
      <c r="F11" s="43">
        <f t="shared" si="0"/>
        <v>0.31104005903550425</v>
      </c>
      <c r="G11" s="10">
        <f t="shared" si="1"/>
        <v>22264.043474668448</v>
      </c>
    </row>
    <row r="12" spans="1:7" ht="13.35" customHeight="1" x14ac:dyDescent="0.25">
      <c r="A12" s="7">
        <v>70</v>
      </c>
      <c r="B12" s="8">
        <v>2015</v>
      </c>
      <c r="C12" s="8">
        <v>10</v>
      </c>
      <c r="D12" s="27">
        <v>22930.448534902185</v>
      </c>
      <c r="E12" s="39">
        <v>18029982</v>
      </c>
      <c r="F12" s="43">
        <f t="shared" si="0"/>
        <v>0.32305598623432213</v>
      </c>
      <c r="G12" s="10">
        <f t="shared" si="1"/>
        <v>23002.228946634885</v>
      </c>
    </row>
    <row r="13" spans="1:7" ht="13.35" customHeight="1" x14ac:dyDescent="0.25">
      <c r="A13" s="7">
        <v>71</v>
      </c>
      <c r="B13" s="8">
        <v>2016</v>
      </c>
      <c r="C13" s="8">
        <v>11</v>
      </c>
      <c r="D13" s="27">
        <v>23374.064195149658</v>
      </c>
      <c r="E13" s="39">
        <v>18354855</v>
      </c>
      <c r="F13" s="43">
        <f t="shared" si="0"/>
        <v>0.34221736844595485</v>
      </c>
      <c r="G13" s="10">
        <f t="shared" si="1"/>
        <v>23764.889657865129</v>
      </c>
    </row>
    <row r="14" spans="1:7" ht="13.35" customHeight="1" x14ac:dyDescent="0.25">
      <c r="A14" s="7">
        <v>72</v>
      </c>
      <c r="B14" s="8">
        <v>2017</v>
      </c>
      <c r="C14" s="8">
        <v>12</v>
      </c>
      <c r="D14" s="27">
        <v>24189.243527694911</v>
      </c>
      <c r="E14" s="39">
        <v>18653146</v>
      </c>
      <c r="F14" s="43">
        <f t="shared" si="0"/>
        <v>0.37649838052913748</v>
      </c>
      <c r="G14" s="10">
        <f t="shared" si="1"/>
        <v>24552.837108124175</v>
      </c>
    </row>
    <row r="15" spans="1:7" ht="13.35" customHeight="1" x14ac:dyDescent="0.25">
      <c r="A15" s="7">
        <v>73</v>
      </c>
      <c r="B15" s="8">
        <v>2018</v>
      </c>
      <c r="C15" s="8">
        <v>13</v>
      </c>
      <c r="D15" s="27">
        <v>24866.134308006269</v>
      </c>
      <c r="E15" s="39">
        <v>18929866</v>
      </c>
      <c r="F15" s="43">
        <f t="shared" si="0"/>
        <v>0.40409713829192628</v>
      </c>
      <c r="G15" s="10">
        <f t="shared" si="1"/>
        <v>25366.909703221172</v>
      </c>
    </row>
    <row r="16" spans="1:7" ht="13.35" customHeight="1" x14ac:dyDescent="0.25">
      <c r="A16" s="7">
        <v>74</v>
      </c>
      <c r="B16" s="8">
        <v>2019</v>
      </c>
      <c r="C16" s="8">
        <v>14</v>
      </c>
      <c r="D16" s="27">
        <v>25608.551955549003</v>
      </c>
      <c r="E16" s="39">
        <v>19191510</v>
      </c>
      <c r="F16" s="43">
        <f t="shared" si="0"/>
        <v>0.43351668496798007</v>
      </c>
      <c r="G16" s="10">
        <f t="shared" si="1"/>
        <v>26207.973647104845</v>
      </c>
    </row>
    <row r="17" spans="1:17" ht="13.35" customHeight="1" x14ac:dyDescent="0.25">
      <c r="A17" s="7">
        <v>75</v>
      </c>
      <c r="B17" s="8">
        <v>2020</v>
      </c>
      <c r="C17" s="8">
        <v>15</v>
      </c>
      <c r="D17" s="27">
        <v>26499.985109749879</v>
      </c>
      <c r="E17" s="39">
        <v>19411454</v>
      </c>
      <c r="F17" s="43">
        <f t="shared" si="0"/>
        <v>0.46773449960049135</v>
      </c>
      <c r="G17" s="10">
        <f t="shared" si="1"/>
        <v>27076.923863537184</v>
      </c>
    </row>
    <row r="18" spans="1:17" ht="13.35" customHeight="1" x14ac:dyDescent="0.25">
      <c r="A18" s="7">
        <v>76</v>
      </c>
      <c r="B18" s="8">
        <v>2021</v>
      </c>
      <c r="C18" s="8">
        <v>16</v>
      </c>
      <c r="D18" s="27">
        <v>28418.132385268702</v>
      </c>
      <c r="E18" s="39">
        <v>19617046</v>
      </c>
      <c r="F18" s="43">
        <f t="shared" si="0"/>
        <v>0.53761773421028902</v>
      </c>
      <c r="G18" s="10">
        <f t="shared" si="1"/>
        <v>27974.68494832603</v>
      </c>
    </row>
    <row r="19" spans="1:17" ht="13.35" customHeight="1" x14ac:dyDescent="0.25">
      <c r="A19" s="7">
        <v>77</v>
      </c>
      <c r="B19" s="8">
        <v>2022</v>
      </c>
      <c r="C19" s="8">
        <v>17</v>
      </c>
      <c r="D19" s="27">
        <v>29366.309937499183</v>
      </c>
      <c r="E19" s="39">
        <v>19839704</v>
      </c>
      <c r="F19" s="43">
        <f t="shared" si="0"/>
        <v>0.57043842528721234</v>
      </c>
      <c r="G19" s="10">
        <f t="shared" si="1"/>
        <v>28902.212153129967</v>
      </c>
    </row>
    <row r="20" spans="1:17" ht="13.35" customHeight="1" x14ac:dyDescent="0.25">
      <c r="A20" s="7">
        <v>78</v>
      </c>
      <c r="B20" s="8">
        <v>2023</v>
      </c>
      <c r="C20" s="8">
        <v>18</v>
      </c>
      <c r="D20" s="27">
        <v>29656.229326596149</v>
      </c>
      <c r="E20" s="39">
        <v>20055492</v>
      </c>
      <c r="F20" s="43">
        <f t="shared" si="0"/>
        <v>0.58026252721358373</v>
      </c>
      <c r="G20" s="10">
        <f t="shared" si="1"/>
        <v>29860.492401882042</v>
      </c>
    </row>
    <row r="21" spans="1:17" ht="13.2" customHeight="1" x14ac:dyDescent="0.25">
      <c r="A21" s="7">
        <v>79</v>
      </c>
      <c r="B21" s="8">
        <v>2024</v>
      </c>
      <c r="C21" s="8">
        <v>19</v>
      </c>
      <c r="D21" s="27">
        <v>31127.84926258065</v>
      </c>
      <c r="E21" s="39">
        <v>20278946</v>
      </c>
      <c r="F21" s="43">
        <f t="shared" si="0"/>
        <v>0.62869322167268205</v>
      </c>
      <c r="G21" s="10">
        <f t="shared" si="1"/>
        <v>30850.545340914123</v>
      </c>
    </row>
    <row r="22" spans="1:17" ht="13.35" customHeight="1" x14ac:dyDescent="0.25">
      <c r="A22" s="7">
        <v>80</v>
      </c>
    </row>
    <row r="23" spans="1:17" ht="13.35" customHeight="1" x14ac:dyDescent="0.3">
      <c r="A23" s="7">
        <v>81</v>
      </c>
      <c r="B23" t="s">
        <v>22</v>
      </c>
      <c r="C23"/>
      <c r="D23"/>
      <c r="E23"/>
      <c r="F23"/>
      <c r="G23"/>
      <c r="H23"/>
      <c r="I23"/>
      <c r="J23"/>
    </row>
    <row r="24" spans="1:17" ht="13.35" customHeight="1" thickBot="1" x14ac:dyDescent="0.35">
      <c r="A24" s="7">
        <v>82</v>
      </c>
      <c r="B24"/>
      <c r="C24"/>
      <c r="D24"/>
      <c r="E24"/>
      <c r="F24"/>
      <c r="G24"/>
      <c r="H24"/>
      <c r="I24"/>
      <c r="J24"/>
    </row>
    <row r="25" spans="1:17" ht="13.35" customHeight="1" x14ac:dyDescent="0.3">
      <c r="A25" s="7">
        <v>83</v>
      </c>
      <c r="B25" s="47" t="s">
        <v>23</v>
      </c>
      <c r="C25" s="47"/>
      <c r="D25"/>
      <c r="E25"/>
      <c r="F25"/>
      <c r="G25"/>
      <c r="H25"/>
      <c r="I25"/>
      <c r="J25"/>
    </row>
    <row r="26" spans="1:17" ht="13.35" customHeight="1" x14ac:dyDescent="0.3">
      <c r="A26" s="7">
        <v>84</v>
      </c>
      <c r="B26" t="s">
        <v>24</v>
      </c>
      <c r="C26">
        <v>0.99822830803259566</v>
      </c>
      <c r="D26"/>
      <c r="E26"/>
      <c r="F26"/>
      <c r="G26"/>
      <c r="H26"/>
      <c r="I26"/>
      <c r="J26"/>
    </row>
    <row r="27" spans="1:17" ht="13.35" customHeight="1" x14ac:dyDescent="0.3">
      <c r="A27" s="7">
        <v>85</v>
      </c>
      <c r="B27" t="s">
        <v>25</v>
      </c>
      <c r="C27">
        <v>0.99645975495761874</v>
      </c>
      <c r="D27"/>
      <c r="E27"/>
      <c r="F27"/>
      <c r="G27"/>
      <c r="H27"/>
      <c r="I27"/>
      <c r="J27"/>
    </row>
    <row r="28" spans="1:17" ht="13.35" customHeight="1" x14ac:dyDescent="0.3">
      <c r="A28" s="7">
        <v>86</v>
      </c>
      <c r="B28" t="s">
        <v>26</v>
      </c>
      <c r="C28">
        <v>0.94090419940206316</v>
      </c>
      <c r="D28"/>
      <c r="E28"/>
      <c r="F28"/>
      <c r="G28"/>
      <c r="H28"/>
      <c r="I28"/>
      <c r="J28"/>
    </row>
    <row r="29" spans="1:17" ht="13.35" customHeight="1" x14ac:dyDescent="0.3">
      <c r="A29" s="7">
        <v>87</v>
      </c>
      <c r="B29" t="s">
        <v>27</v>
      </c>
      <c r="C29">
        <v>2.2774993609669406E-2</v>
      </c>
      <c r="D29"/>
      <c r="E29"/>
      <c r="F29"/>
      <c r="G29"/>
      <c r="H29"/>
      <c r="I29"/>
      <c r="J29"/>
    </row>
    <row r="30" spans="1:17" ht="13.35" customHeight="1" thickBot="1" x14ac:dyDescent="0.35">
      <c r="A30" s="7">
        <v>88</v>
      </c>
      <c r="B30" s="45" t="s">
        <v>28</v>
      </c>
      <c r="C30" s="45">
        <v>19</v>
      </c>
      <c r="D30"/>
      <c r="E30"/>
      <c r="F30"/>
      <c r="G30"/>
      <c r="H30"/>
      <c r="I30"/>
      <c r="J30"/>
      <c r="L30"/>
      <c r="M30"/>
      <c r="N30"/>
      <c r="O30"/>
      <c r="P30"/>
      <c r="Q30"/>
    </row>
    <row r="31" spans="1:17" ht="13.35" customHeight="1" x14ac:dyDescent="0.3">
      <c r="A31" s="7">
        <v>89</v>
      </c>
      <c r="B31"/>
      <c r="C31"/>
      <c r="D31"/>
      <c r="E31"/>
      <c r="F31"/>
      <c r="G31"/>
      <c r="H31"/>
      <c r="I31"/>
      <c r="J31"/>
      <c r="L31"/>
      <c r="M31"/>
      <c r="N31"/>
      <c r="O31"/>
      <c r="P31"/>
      <c r="Q31"/>
    </row>
    <row r="32" spans="1:17" ht="13.35" customHeight="1" thickBot="1" x14ac:dyDescent="0.35">
      <c r="A32" s="7">
        <v>90</v>
      </c>
      <c r="B32" t="s">
        <v>29</v>
      </c>
      <c r="C32"/>
      <c r="D32"/>
      <c r="E32"/>
      <c r="F32"/>
      <c r="G32"/>
      <c r="H32"/>
      <c r="I32"/>
      <c r="J32"/>
      <c r="L32"/>
      <c r="M32"/>
      <c r="N32"/>
      <c r="O32"/>
      <c r="P32"/>
      <c r="Q32"/>
    </row>
    <row r="33" spans="1:17" ht="13.35" customHeight="1" x14ac:dyDescent="0.3">
      <c r="A33" s="7">
        <v>91</v>
      </c>
      <c r="B33" s="46"/>
      <c r="C33" s="46" t="s">
        <v>34</v>
      </c>
      <c r="D33" s="46" t="s">
        <v>35</v>
      </c>
      <c r="E33" s="46" t="s">
        <v>36</v>
      </c>
      <c r="F33" s="46" t="s">
        <v>37</v>
      </c>
      <c r="G33" s="46" t="s">
        <v>38</v>
      </c>
      <c r="H33"/>
      <c r="I33"/>
      <c r="J33"/>
      <c r="L33"/>
      <c r="M33"/>
      <c r="N33"/>
      <c r="O33"/>
      <c r="P33"/>
      <c r="Q33"/>
    </row>
    <row r="34" spans="1:17" ht="13.35" customHeight="1" x14ac:dyDescent="0.3">
      <c r="A34" s="7">
        <v>92</v>
      </c>
      <c r="B34" t="s">
        <v>30</v>
      </c>
      <c r="C34">
        <v>1</v>
      </c>
      <c r="D34">
        <v>2.6279401640427529</v>
      </c>
      <c r="E34">
        <v>2.6279401640427529</v>
      </c>
      <c r="F34">
        <v>5066.3938158281981</v>
      </c>
      <c r="G34">
        <v>1.7277950566039404E-22</v>
      </c>
      <c r="H34"/>
      <c r="I34"/>
      <c r="J34"/>
      <c r="L34"/>
      <c r="M34"/>
      <c r="N34"/>
      <c r="O34"/>
      <c r="P34"/>
      <c r="Q34"/>
    </row>
    <row r="35" spans="1:17" ht="13.35" customHeight="1" x14ac:dyDescent="0.3">
      <c r="A35" s="7">
        <v>93</v>
      </c>
      <c r="B35" t="s">
        <v>31</v>
      </c>
      <c r="C35">
        <v>18</v>
      </c>
      <c r="D35">
        <v>9.3366060105686804E-3</v>
      </c>
      <c r="E35">
        <v>5.1870033392048228E-4</v>
      </c>
      <c r="F35"/>
      <c r="G35"/>
      <c r="H35"/>
      <c r="I35"/>
      <c r="J35"/>
      <c r="L35"/>
      <c r="M35"/>
      <c r="N35"/>
      <c r="O35"/>
      <c r="P35"/>
      <c r="Q35"/>
    </row>
    <row r="36" spans="1:17" s="14" customFormat="1" ht="13.35" customHeight="1" thickBot="1" x14ac:dyDescent="0.35">
      <c r="A36" s="11">
        <v>94</v>
      </c>
      <c r="B36" s="45" t="s">
        <v>32</v>
      </c>
      <c r="C36" s="45">
        <v>19</v>
      </c>
      <c r="D36" s="45">
        <v>2.6372767700533215</v>
      </c>
      <c r="E36" s="45"/>
      <c r="F36" s="45"/>
      <c r="G36" s="45"/>
      <c r="H36"/>
      <c r="I36"/>
      <c r="J36"/>
      <c r="L36"/>
      <c r="M36"/>
      <c r="N36"/>
      <c r="O36"/>
      <c r="P36"/>
      <c r="Q36"/>
    </row>
    <row r="37" spans="1:17" ht="13.35" customHeight="1" thickBot="1" x14ac:dyDescent="0.35">
      <c r="A37" s="7">
        <v>95</v>
      </c>
      <c r="B37"/>
      <c r="C37"/>
      <c r="D37"/>
      <c r="E37"/>
      <c r="F37"/>
      <c r="G37"/>
      <c r="H37"/>
      <c r="I37"/>
      <c r="J37"/>
    </row>
    <row r="38" spans="1:17" ht="13.35" customHeight="1" x14ac:dyDescent="0.3">
      <c r="A38" s="7">
        <v>96</v>
      </c>
      <c r="B38" s="46"/>
      <c r="C38" s="46" t="s">
        <v>39</v>
      </c>
      <c r="D38" s="46" t="s">
        <v>27</v>
      </c>
      <c r="E38" s="46" t="s">
        <v>40</v>
      </c>
      <c r="F38" s="46" t="s">
        <v>41</v>
      </c>
      <c r="G38" s="46" t="s">
        <v>42</v>
      </c>
      <c r="H38" s="46" t="s">
        <v>43</v>
      </c>
      <c r="I38" s="46" t="s">
        <v>44</v>
      </c>
      <c r="J38" s="46" t="s">
        <v>45</v>
      </c>
    </row>
    <row r="39" spans="1:17" ht="13.35" customHeight="1" x14ac:dyDescent="0.3">
      <c r="A39" s="7">
        <v>97</v>
      </c>
      <c r="B39" t="s">
        <v>33</v>
      </c>
      <c r="C39">
        <v>0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</row>
    <row r="40" spans="1:17" ht="13.35" customHeight="1" thickBot="1" x14ac:dyDescent="0.35">
      <c r="A40" s="7">
        <v>98</v>
      </c>
      <c r="B40" s="45" t="s">
        <v>46</v>
      </c>
      <c r="C40" s="45">
        <v>3.261814504615685E-2</v>
      </c>
      <c r="D40" s="45">
        <v>4.582577170004654E-4</v>
      </c>
      <c r="E40" s="45">
        <v>71.178605042724726</v>
      </c>
      <c r="F40" s="45">
        <v>1.6228109988545905E-23</v>
      </c>
      <c r="G40" s="45">
        <v>3.1655381308400031E-2</v>
      </c>
      <c r="H40" s="45">
        <v>3.358090878391367E-2</v>
      </c>
      <c r="I40" s="45">
        <v>3.1655381308400031E-2</v>
      </c>
      <c r="J40" s="45">
        <v>3.358090878391367E-2</v>
      </c>
    </row>
    <row r="41" spans="1:17" ht="13.35" customHeight="1" x14ac:dyDescent="0.3">
      <c r="A41" s="7">
        <v>99</v>
      </c>
      <c r="B41"/>
      <c r="C41"/>
      <c r="D41"/>
      <c r="E41"/>
      <c r="F41"/>
      <c r="G41"/>
      <c r="H41"/>
      <c r="I41"/>
      <c r="J41"/>
    </row>
    <row r="42" spans="1:17" ht="13.35" customHeight="1" x14ac:dyDescent="0.3">
      <c r="A42" s="7">
        <v>100</v>
      </c>
      <c r="B42"/>
      <c r="C42"/>
      <c r="D42"/>
      <c r="E42"/>
      <c r="F42"/>
      <c r="G42"/>
      <c r="H42"/>
      <c r="I42"/>
      <c r="J42"/>
    </row>
    <row r="43" spans="1:17" ht="13.35" customHeight="1" x14ac:dyDescent="0.3">
      <c r="A43" s="7">
        <v>101</v>
      </c>
      <c r="B43"/>
      <c r="C43"/>
      <c r="D43"/>
      <c r="E43"/>
      <c r="F43"/>
      <c r="G43"/>
      <c r="H43"/>
      <c r="I43"/>
      <c r="J43"/>
    </row>
    <row r="44" spans="1:17" ht="13.35" customHeight="1" x14ac:dyDescent="0.3">
      <c r="A44" s="7">
        <v>102</v>
      </c>
      <c r="B44" t="s">
        <v>50</v>
      </c>
      <c r="C44"/>
      <c r="D44"/>
      <c r="E44"/>
      <c r="F44"/>
      <c r="G44"/>
      <c r="H44"/>
      <c r="I44"/>
      <c r="J44"/>
    </row>
    <row r="45" spans="1:17" ht="13.35" customHeight="1" thickBot="1" x14ac:dyDescent="0.35">
      <c r="A45" s="7">
        <v>103</v>
      </c>
      <c r="B45"/>
      <c r="C45"/>
      <c r="D45"/>
      <c r="E45"/>
      <c r="F45"/>
      <c r="G45"/>
      <c r="H45"/>
      <c r="I45"/>
      <c r="J45"/>
    </row>
    <row r="46" spans="1:17" ht="13.35" customHeight="1" x14ac:dyDescent="0.3">
      <c r="A46" s="7">
        <v>104</v>
      </c>
      <c r="B46" s="46" t="s">
        <v>51</v>
      </c>
      <c r="C46" s="51" t="s">
        <v>54</v>
      </c>
      <c r="D46" s="65" t="s">
        <v>60</v>
      </c>
      <c r="E46"/>
      <c r="F46"/>
      <c r="G46"/>
      <c r="H46"/>
      <c r="I46"/>
      <c r="J46"/>
    </row>
    <row r="47" spans="1:17" ht="13.35" customHeight="1" x14ac:dyDescent="0.3">
      <c r="A47" s="7">
        <v>105</v>
      </c>
      <c r="B47">
        <v>1</v>
      </c>
      <c r="C47">
        <v>3.261814504615685E-2</v>
      </c>
      <c r="E47"/>
      <c r="F47"/>
      <c r="G47"/>
      <c r="H47"/>
      <c r="I47"/>
      <c r="J47"/>
    </row>
    <row r="48" spans="1:17" ht="13.35" customHeight="1" x14ac:dyDescent="0.3">
      <c r="A48" s="7">
        <v>106</v>
      </c>
      <c r="B48">
        <v>2</v>
      </c>
      <c r="C48">
        <v>6.5236290092313701E-2</v>
      </c>
      <c r="E48"/>
      <c r="F48"/>
      <c r="G48"/>
      <c r="H48"/>
      <c r="I48"/>
      <c r="J48"/>
    </row>
    <row r="49" spans="1:17" ht="13.35" customHeight="1" x14ac:dyDescent="0.3">
      <c r="A49" s="7">
        <v>107</v>
      </c>
      <c r="B49">
        <v>3</v>
      </c>
      <c r="C49">
        <v>9.7854435138470558E-2</v>
      </c>
      <c r="E49"/>
      <c r="F49"/>
      <c r="G49"/>
      <c r="H49"/>
      <c r="I49"/>
      <c r="J49"/>
    </row>
    <row r="50" spans="1:17" ht="13.35" customHeight="1" x14ac:dyDescent="0.3">
      <c r="A50" s="7">
        <v>108</v>
      </c>
      <c r="B50">
        <v>4</v>
      </c>
      <c r="C50">
        <v>0.1304725801846274</v>
      </c>
      <c r="E50"/>
      <c r="F50"/>
      <c r="G50"/>
      <c r="H50"/>
      <c r="I50"/>
      <c r="J50"/>
    </row>
    <row r="51" spans="1:17" ht="13.35" customHeight="1" x14ac:dyDescent="0.3">
      <c r="A51" s="7">
        <v>109</v>
      </c>
      <c r="B51">
        <v>5</v>
      </c>
      <c r="C51">
        <v>0.16309072523078424</v>
      </c>
      <c r="E51"/>
      <c r="F51"/>
      <c r="G51"/>
      <c r="H51"/>
      <c r="I51"/>
      <c r="J51"/>
    </row>
    <row r="52" spans="1:17" ht="13.35" customHeight="1" x14ac:dyDescent="0.3">
      <c r="A52" s="7">
        <v>110</v>
      </c>
      <c r="B52">
        <v>6</v>
      </c>
      <c r="C52">
        <v>0.19570887027694112</v>
      </c>
      <c r="E52"/>
      <c r="F52"/>
      <c r="G52"/>
      <c r="H52"/>
      <c r="I52"/>
      <c r="J52"/>
    </row>
    <row r="53" spans="1:17" ht="13.35" customHeight="1" x14ac:dyDescent="0.3">
      <c r="A53" s="7">
        <v>111</v>
      </c>
      <c r="B53">
        <v>7</v>
      </c>
      <c r="C53">
        <v>0.22832701532309796</v>
      </c>
      <c r="E53"/>
      <c r="F53"/>
      <c r="G53"/>
      <c r="H53"/>
      <c r="I53"/>
      <c r="J53"/>
    </row>
    <row r="54" spans="1:17" ht="13.35" customHeight="1" x14ac:dyDescent="0.3">
      <c r="A54" s="7">
        <v>112</v>
      </c>
      <c r="B54">
        <v>8</v>
      </c>
      <c r="C54">
        <v>0.2609451603692548</v>
      </c>
      <c r="E54"/>
      <c r="F54"/>
      <c r="G54"/>
      <c r="H54"/>
      <c r="I54"/>
      <c r="J54"/>
    </row>
    <row r="55" spans="1:17" ht="13.2" customHeight="1" x14ac:dyDescent="0.3">
      <c r="A55" s="7">
        <v>113</v>
      </c>
      <c r="B55">
        <v>9</v>
      </c>
      <c r="C55">
        <v>0.29356330541541165</v>
      </c>
      <c r="E55"/>
      <c r="F55"/>
      <c r="G55"/>
      <c r="H55"/>
      <c r="I55"/>
      <c r="J55"/>
    </row>
    <row r="56" spans="1:17" ht="12.75" customHeight="1" x14ac:dyDescent="0.3">
      <c r="B56">
        <v>10</v>
      </c>
      <c r="C56">
        <v>0.32618145046156849</v>
      </c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12" customHeight="1" x14ac:dyDescent="0.3">
      <c r="B57">
        <v>11</v>
      </c>
      <c r="C57">
        <v>0.35879959550772533</v>
      </c>
      <c r="E57"/>
      <c r="F57"/>
      <c r="G57"/>
      <c r="H57"/>
      <c r="I57"/>
      <c r="J57"/>
      <c r="L57"/>
      <c r="M57"/>
      <c r="N57"/>
      <c r="O57"/>
      <c r="P57"/>
      <c r="Q57"/>
    </row>
    <row r="58" spans="1:17" ht="16.8" customHeight="1" x14ac:dyDescent="0.3">
      <c r="B58">
        <v>12</v>
      </c>
      <c r="C58">
        <v>0.39141774055388223</v>
      </c>
      <c r="E58"/>
      <c r="F58"/>
      <c r="G58"/>
      <c r="H58"/>
      <c r="I58"/>
      <c r="J58"/>
      <c r="K58"/>
      <c r="L58"/>
      <c r="M58"/>
    </row>
    <row r="59" spans="1:17" ht="12.75" customHeight="1" x14ac:dyDescent="0.3">
      <c r="B59">
        <v>13</v>
      </c>
      <c r="C59">
        <v>0.42403588560003908</v>
      </c>
      <c r="E59"/>
      <c r="F59"/>
      <c r="G59"/>
      <c r="H59"/>
      <c r="I59"/>
      <c r="J59"/>
      <c r="K59"/>
      <c r="L59"/>
      <c r="M59"/>
    </row>
    <row r="60" spans="1:17" ht="12.75" customHeight="1" x14ac:dyDescent="0.3">
      <c r="B60">
        <v>14</v>
      </c>
      <c r="C60">
        <v>0.45665403064619592</v>
      </c>
      <c r="E60"/>
      <c r="F60"/>
      <c r="G60"/>
      <c r="H60"/>
      <c r="I60"/>
      <c r="J60"/>
      <c r="K60"/>
      <c r="L60"/>
      <c r="M60"/>
    </row>
    <row r="61" spans="1:17" ht="12.75" customHeight="1" x14ac:dyDescent="0.3">
      <c r="B61">
        <v>15</v>
      </c>
      <c r="C61">
        <v>0.48927217569235276</v>
      </c>
      <c r="E61"/>
      <c r="F61"/>
      <c r="G61"/>
      <c r="H61"/>
      <c r="I61"/>
      <c r="J61"/>
      <c r="K61"/>
      <c r="L61"/>
      <c r="M61"/>
    </row>
    <row r="62" spans="1:17" ht="12.75" customHeight="1" x14ac:dyDescent="0.3">
      <c r="B62">
        <v>16</v>
      </c>
      <c r="C62">
        <v>0.52189032073850961</v>
      </c>
      <c r="E62"/>
      <c r="F62"/>
      <c r="G62"/>
      <c r="H62"/>
      <c r="I62"/>
      <c r="J62"/>
      <c r="K62"/>
      <c r="L62"/>
      <c r="M62"/>
    </row>
    <row r="63" spans="1:17" ht="12.75" customHeight="1" x14ac:dyDescent="0.3">
      <c r="B63">
        <v>17</v>
      </c>
      <c r="C63">
        <v>0.5545084657846665</v>
      </c>
      <c r="E63"/>
      <c r="F63"/>
      <c r="G63"/>
      <c r="H63"/>
      <c r="I63"/>
      <c r="J63"/>
      <c r="K63"/>
      <c r="L63"/>
      <c r="M63"/>
    </row>
    <row r="64" spans="1:17" ht="12.75" customHeight="1" x14ac:dyDescent="0.3">
      <c r="B64">
        <v>18</v>
      </c>
      <c r="C64">
        <v>0.58712661083082329</v>
      </c>
      <c r="E64"/>
      <c r="F64"/>
      <c r="G64"/>
      <c r="H64"/>
      <c r="I64"/>
      <c r="J64"/>
      <c r="K64"/>
      <c r="L64"/>
      <c r="M64"/>
    </row>
    <row r="65" spans="2:13" ht="12.75" customHeight="1" thickBot="1" x14ac:dyDescent="0.35">
      <c r="B65" s="45">
        <v>19</v>
      </c>
      <c r="C65" s="45">
        <v>0.61974475587698019</v>
      </c>
      <c r="E65"/>
      <c r="F65"/>
      <c r="G65"/>
      <c r="H65"/>
      <c r="I65"/>
      <c r="J65"/>
      <c r="K65"/>
      <c r="L65"/>
      <c r="M65"/>
    </row>
    <row r="66" spans="2:13" ht="12.75" customHeight="1" x14ac:dyDescent="0.3">
      <c r="B66" s="3">
        <v>20</v>
      </c>
      <c r="J66"/>
      <c r="K66"/>
      <c r="L66"/>
      <c r="M66"/>
    </row>
    <row r="67" spans="2:13" ht="12.75" customHeight="1" x14ac:dyDescent="0.3">
      <c r="B67" s="3">
        <v>21</v>
      </c>
      <c r="J67"/>
      <c r="K67"/>
      <c r="L67"/>
      <c r="M67"/>
    </row>
    <row r="68" spans="2:13" ht="12.75" customHeight="1" x14ac:dyDescent="0.3">
      <c r="B68" s="3">
        <v>22</v>
      </c>
      <c r="J68"/>
      <c r="K68"/>
      <c r="L68"/>
      <c r="M68"/>
    </row>
    <row r="69" spans="2:13" ht="12.75" customHeight="1" x14ac:dyDescent="0.3">
      <c r="B69" s="3">
        <v>23</v>
      </c>
      <c r="J69"/>
      <c r="K69"/>
      <c r="L69"/>
      <c r="M69"/>
    </row>
    <row r="70" spans="2:13" ht="12.75" customHeight="1" x14ac:dyDescent="0.3">
      <c r="B70" s="3">
        <v>24</v>
      </c>
      <c r="J70"/>
      <c r="K70"/>
      <c r="L70"/>
      <c r="M70"/>
    </row>
    <row r="71" spans="2:13" ht="12.75" customHeight="1" x14ac:dyDescent="0.3">
      <c r="B71" s="3">
        <v>25</v>
      </c>
      <c r="J71"/>
      <c r="K71"/>
      <c r="L71"/>
      <c r="M71"/>
    </row>
    <row r="72" spans="2:13" ht="12.75" customHeight="1" x14ac:dyDescent="0.25">
      <c r="B72" s="3">
        <v>26</v>
      </c>
    </row>
    <row r="73" spans="2:13" ht="12.75" customHeight="1" x14ac:dyDescent="0.25">
      <c r="B73" s="3">
        <v>27</v>
      </c>
    </row>
    <row r="74" spans="2:13" ht="12.75" customHeight="1" x14ac:dyDescent="0.25">
      <c r="B74" s="3">
        <v>28</v>
      </c>
    </row>
    <row r="75" spans="2:13" ht="12.75" customHeight="1" x14ac:dyDescent="0.25">
      <c r="B75" s="3">
        <v>29</v>
      </c>
    </row>
    <row r="76" spans="2:13" ht="12.75" customHeight="1" x14ac:dyDescent="0.25">
      <c r="B76" s="3">
        <v>30</v>
      </c>
    </row>
    <row r="77" spans="2:13" ht="12.75" customHeight="1" x14ac:dyDescent="0.25">
      <c r="B77" s="3">
        <v>31</v>
      </c>
    </row>
    <row r="78" spans="2:13" ht="12.75" customHeight="1" x14ac:dyDescent="0.25">
      <c r="B78" s="3">
        <v>32</v>
      </c>
    </row>
    <row r="79" spans="2:13" ht="12.75" customHeight="1" x14ac:dyDescent="0.25">
      <c r="B79" s="3">
        <v>33</v>
      </c>
    </row>
    <row r="80" spans="2:13" ht="12.75" customHeight="1" x14ac:dyDescent="0.25">
      <c r="B80" s="3">
        <v>34</v>
      </c>
    </row>
    <row r="81" spans="2:4" ht="12.75" customHeight="1" x14ac:dyDescent="0.3">
      <c r="B81" s="3">
        <v>35</v>
      </c>
      <c r="D81">
        <v>1.936870630247424E-2</v>
      </c>
    </row>
    <row r="82" spans="2:4" ht="12.75" customHeight="1" x14ac:dyDescent="0.3">
      <c r="B82" s="3">
        <v>36</v>
      </c>
      <c r="D82">
        <v>4.8897540113038554E-2</v>
      </c>
    </row>
    <row r="83" spans="2:4" ht="12.75" customHeight="1" x14ac:dyDescent="0.3">
      <c r="B83" s="3">
        <v>37</v>
      </c>
      <c r="D83">
        <v>2.0739308678294766E-2</v>
      </c>
    </row>
    <row r="84" spans="2:4" ht="12.75" customHeight="1" x14ac:dyDescent="0.3">
      <c r="B84" s="3">
        <v>38</v>
      </c>
      <c r="D84">
        <v>-3.1650047717736038E-2</v>
      </c>
    </row>
    <row r="85" spans="2:4" ht="12.75" customHeight="1" x14ac:dyDescent="0.3">
      <c r="B85" s="3">
        <v>39</v>
      </c>
      <c r="D85">
        <v>3.0562941986880143E-2</v>
      </c>
    </row>
    <row r="86" spans="2:4" ht="12.75" customHeight="1" x14ac:dyDescent="0.3">
      <c r="B86" s="3">
        <v>40</v>
      </c>
      <c r="D86">
        <v>3.1747978753045747E-2</v>
      </c>
    </row>
    <row r="87" spans="2:4" ht="12.75" customHeight="1" x14ac:dyDescent="0.3">
      <c r="B87" s="3">
        <v>41</v>
      </c>
      <c r="D87">
        <v>1.7787953979322896E-2</v>
      </c>
    </row>
    <row r="88" spans="2:4" ht="12.75" customHeight="1" x14ac:dyDescent="0.3">
      <c r="B88" s="3">
        <v>42</v>
      </c>
      <c r="D88">
        <v>6.5096649307805898E-3</v>
      </c>
    </row>
    <row r="89" spans="2:4" ht="12.75" customHeight="1" x14ac:dyDescent="0.3">
      <c r="B89" s="3">
        <v>43</v>
      </c>
      <c r="D89">
        <v>1.74767536200926E-2</v>
      </c>
    </row>
    <row r="90" spans="2:4" ht="12.75" customHeight="1" x14ac:dyDescent="0.3">
      <c r="B90" s="3">
        <v>44</v>
      </c>
      <c r="D90">
        <v>-3.1254642272463551E-3</v>
      </c>
    </row>
    <row r="91" spans="2:4" ht="12.75" customHeight="1" x14ac:dyDescent="0.3">
      <c r="B91" s="3">
        <v>45</v>
      </c>
      <c r="D91">
        <v>-1.6582227061770483E-2</v>
      </c>
    </row>
    <row r="92" spans="2:4" ht="12.75" customHeight="1" x14ac:dyDescent="0.3">
      <c r="B92" s="3">
        <v>46</v>
      </c>
      <c r="D92">
        <v>-1.4919360024744754E-2</v>
      </c>
    </row>
    <row r="93" spans="2:4" ht="12.75" customHeight="1" x14ac:dyDescent="0.3">
      <c r="B93" s="3">
        <v>47</v>
      </c>
      <c r="D93">
        <v>-1.9938747308112792E-2</v>
      </c>
    </row>
    <row r="94" spans="2:4" ht="12.75" customHeight="1" x14ac:dyDescent="0.3">
      <c r="B94" s="3">
        <v>48</v>
      </c>
      <c r="D94">
        <v>-2.3137345678215848E-2</v>
      </c>
    </row>
    <row r="95" spans="2:4" ht="12.75" customHeight="1" x14ac:dyDescent="0.3">
      <c r="B95" s="3">
        <v>49</v>
      </c>
      <c r="D95">
        <v>-2.1537676091861413E-2</v>
      </c>
    </row>
    <row r="96" spans="2:4" ht="12.75" customHeight="1" x14ac:dyDescent="0.3">
      <c r="B96" s="3">
        <v>50</v>
      </c>
      <c r="D96">
        <v>1.5727413471779417E-2</v>
      </c>
    </row>
    <row r="97" spans="2:4" ht="12.75" customHeight="1" x14ac:dyDescent="0.3">
      <c r="B97" s="3">
        <v>51</v>
      </c>
      <c r="D97">
        <v>1.5929959502545832E-2</v>
      </c>
    </row>
    <row r="98" spans="2:4" ht="12.75" customHeight="1" x14ac:dyDescent="0.3">
      <c r="B98" s="3">
        <v>52</v>
      </c>
      <c r="D98">
        <v>-6.8640836172395581E-3</v>
      </c>
    </row>
    <row r="99" spans="2:4" ht="12.75" customHeight="1" thickBot="1" x14ac:dyDescent="0.35">
      <c r="B99" s="3">
        <v>53</v>
      </c>
      <c r="D99" s="45">
        <v>8.9484657957018543E-3</v>
      </c>
    </row>
  </sheetData>
  <pageMargins left="0.1" right="0.1" top="0.1" bottom="0.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2CF6-4640-48A0-9C07-81EAC5052F20}">
  <sheetPr>
    <pageSetUpPr fitToPage="1"/>
  </sheetPr>
  <dimension ref="A1:Q99"/>
  <sheetViews>
    <sheetView topLeftCell="B1" zoomScale="90" zoomScaleNormal="90" workbookViewId="0">
      <selection activeCell="D46" sqref="D46"/>
    </sheetView>
  </sheetViews>
  <sheetFormatPr defaultColWidth="8" defaultRowHeight="12.75" customHeight="1" x14ac:dyDescent="0.25"/>
  <cols>
    <col min="1" max="1" width="17.3984375" style="3" hidden="1" customWidth="1"/>
    <col min="2" max="2" width="9.5" style="3" customWidth="1"/>
    <col min="3" max="3" width="12.69921875" style="3" customWidth="1"/>
    <col min="4" max="4" width="19.296875" style="3" customWidth="1"/>
    <col min="5" max="5" width="13.296875" style="3" hidden="1" customWidth="1"/>
    <col min="6" max="6" width="17" style="3" customWidth="1"/>
    <col min="7" max="7" width="13.59765625" style="3" customWidth="1"/>
    <col min="8" max="16384" width="8" style="3"/>
  </cols>
  <sheetData>
    <row r="1" spans="1:7" ht="30" customHeight="1" x14ac:dyDescent="0.35">
      <c r="A1" s="4"/>
      <c r="B1" s="5"/>
      <c r="C1" s="42" t="s">
        <v>20</v>
      </c>
      <c r="D1" s="6" t="s">
        <v>8</v>
      </c>
      <c r="E1" s="38" t="s">
        <v>11</v>
      </c>
      <c r="F1" s="6" t="s">
        <v>21</v>
      </c>
      <c r="G1" s="6" t="s">
        <v>53</v>
      </c>
    </row>
    <row r="2" spans="1:7" ht="21.6" customHeight="1" x14ac:dyDescent="0.45">
      <c r="A2" s="7">
        <v>60</v>
      </c>
      <c r="B2" s="12">
        <v>2005</v>
      </c>
      <c r="C2" s="12">
        <v>0</v>
      </c>
      <c r="D2" s="41">
        <v>41798.488083467069</v>
      </c>
      <c r="E2" s="40">
        <v>14913564</v>
      </c>
      <c r="F2" s="49" t="s">
        <v>55</v>
      </c>
      <c r="G2" s="50" t="s">
        <v>56</v>
      </c>
    </row>
    <row r="3" spans="1:7" ht="13.35" customHeight="1" x14ac:dyDescent="0.25">
      <c r="A3" s="7">
        <v>61</v>
      </c>
      <c r="B3" s="8">
        <v>2006</v>
      </c>
      <c r="C3" s="8">
        <v>1</v>
      </c>
      <c r="D3" s="27">
        <v>44159.41018205518</v>
      </c>
      <c r="E3" s="39">
        <v>15220495</v>
      </c>
      <c r="F3" s="43">
        <f>LN(D3/$D$2)</f>
        <v>5.4945876870455192E-2</v>
      </c>
      <c r="G3" s="10">
        <f>$D$2*EXP($C$40*C3)</f>
        <v>42963.733557599844</v>
      </c>
    </row>
    <row r="4" spans="1:7" ht="13.35" customHeight="1" x14ac:dyDescent="0.25">
      <c r="A4" s="7">
        <v>62</v>
      </c>
      <c r="B4" s="8">
        <v>2007</v>
      </c>
      <c r="C4" s="8">
        <v>2</v>
      </c>
      <c r="D4" s="27">
        <v>46178.813947019909</v>
      </c>
      <c r="E4" s="39">
        <v>15505121</v>
      </c>
      <c r="F4" s="43">
        <f t="shared" ref="F4:F21" si="0">LN(D4/$D$2)</f>
        <v>9.966095171124055E-2</v>
      </c>
      <c r="G4" s="10">
        <f t="shared" ref="G4:G21" si="1">$D$2*EXP($C$40*C4)</f>
        <v>44161.463388876728</v>
      </c>
    </row>
    <row r="5" spans="1:7" ht="13.35" customHeight="1" x14ac:dyDescent="0.25">
      <c r="A5" s="7">
        <v>63</v>
      </c>
      <c r="B5" s="8">
        <v>2008</v>
      </c>
      <c r="C5" s="8">
        <v>3</v>
      </c>
      <c r="D5" s="27">
        <v>44601.579930269872</v>
      </c>
      <c r="E5" s="39">
        <v>15784817</v>
      </c>
      <c r="F5" s="43">
        <f t="shared" si="0"/>
        <v>6.4909114219532979E-2</v>
      </c>
      <c r="G5" s="10">
        <f t="shared" si="1"/>
        <v>45392.583166276592</v>
      </c>
    </row>
    <row r="6" spans="1:7" ht="13.35" customHeight="1" x14ac:dyDescent="0.25">
      <c r="A6" s="7">
        <v>64</v>
      </c>
      <c r="B6" s="8">
        <v>2009</v>
      </c>
      <c r="C6" s="8">
        <v>4</v>
      </c>
      <c r="D6" s="27">
        <v>43331.87466389616</v>
      </c>
      <c r="E6" s="39">
        <v>16075128</v>
      </c>
      <c r="F6" s="43">
        <f t="shared" si="0"/>
        <v>3.6028330993944632E-2</v>
      </c>
      <c r="G6" s="10">
        <f t="shared" si="1"/>
        <v>46658.023724511062</v>
      </c>
    </row>
    <row r="7" spans="1:7" ht="13.35" customHeight="1" x14ac:dyDescent="0.25">
      <c r="A7" s="7">
        <v>65</v>
      </c>
      <c r="B7" s="8">
        <v>2010</v>
      </c>
      <c r="C7" s="8">
        <v>5</v>
      </c>
      <c r="D7" s="27">
        <v>48752.051544185873</v>
      </c>
      <c r="E7" s="39">
        <v>16401413</v>
      </c>
      <c r="F7" s="43">
        <f t="shared" si="0"/>
        <v>0.15388711089148502</v>
      </c>
      <c r="G7" s="10">
        <f t="shared" si="1"/>
        <v>47958.741847817313</v>
      </c>
    </row>
    <row r="8" spans="1:7" ht="13.35" customHeight="1" x14ac:dyDescent="0.25">
      <c r="A8" s="7">
        <v>66</v>
      </c>
      <c r="B8" s="8">
        <v>2011</v>
      </c>
      <c r="C8" s="8">
        <v>6</v>
      </c>
      <c r="D8" s="27">
        <v>50713.532639359408</v>
      </c>
      <c r="E8" s="39">
        <v>16730895</v>
      </c>
      <c r="F8" s="43">
        <f t="shared" si="0"/>
        <v>0.19333262232053822</v>
      </c>
      <c r="G8" s="10">
        <f t="shared" si="1"/>
        <v>49295.72099337104</v>
      </c>
    </row>
    <row r="9" spans="1:7" ht="13.35" customHeight="1" x14ac:dyDescent="0.25">
      <c r="A9" s="7">
        <v>67</v>
      </c>
      <c r="B9" s="8">
        <v>2012</v>
      </c>
      <c r="C9" s="8">
        <v>7</v>
      </c>
      <c r="D9" s="27">
        <v>51679.352717333037</v>
      </c>
      <c r="E9" s="39">
        <v>17042272</v>
      </c>
      <c r="F9" s="43">
        <f t="shared" si="0"/>
        <v>0.21219816595193575</v>
      </c>
      <c r="G9" s="10">
        <f t="shared" si="1"/>
        <v>50669.972034866434</v>
      </c>
    </row>
    <row r="10" spans="1:7" ht="13.35" customHeight="1" x14ac:dyDescent="0.25">
      <c r="A10" s="7">
        <v>68</v>
      </c>
      <c r="B10" s="8">
        <v>2013</v>
      </c>
      <c r="C10" s="8">
        <v>8</v>
      </c>
      <c r="D10" s="27">
        <v>53298.972855828622</v>
      </c>
      <c r="E10" s="39">
        <v>17372779</v>
      </c>
      <c r="F10" s="43">
        <f t="shared" si="0"/>
        <v>0.24305689136395675</v>
      </c>
      <c r="G10" s="10">
        <f t="shared" si="1"/>
        <v>52082.534026825575</v>
      </c>
    </row>
    <row r="11" spans="1:7" ht="13.35" customHeight="1" x14ac:dyDescent="0.25">
      <c r="A11" s="7">
        <v>69</v>
      </c>
      <c r="B11" s="8">
        <v>2014</v>
      </c>
      <c r="C11" s="8">
        <v>9</v>
      </c>
      <c r="D11" s="27">
        <v>54681.933645825324</v>
      </c>
      <c r="E11" s="39">
        <v>17704538</v>
      </c>
      <c r="F11" s="43">
        <f t="shared" si="0"/>
        <v>0.26867320555079421</v>
      </c>
      <c r="G11" s="10">
        <f t="shared" si="1"/>
        <v>53534.474990214861</v>
      </c>
    </row>
    <row r="12" spans="1:7" ht="13.35" customHeight="1" x14ac:dyDescent="0.25">
      <c r="A12" s="7">
        <v>70</v>
      </c>
      <c r="B12" s="8">
        <v>2015</v>
      </c>
      <c r="C12" s="8">
        <v>10</v>
      </c>
      <c r="D12" s="27">
        <v>55645.606861460568</v>
      </c>
      <c r="E12" s="39">
        <v>18029982</v>
      </c>
      <c r="F12" s="43">
        <f t="shared" si="0"/>
        <v>0.28614296368906622</v>
      </c>
      <c r="G12" s="10">
        <f t="shared" si="1"/>
        <v>55026.892719962751</v>
      </c>
    </row>
    <row r="13" spans="1:7" ht="13.35" customHeight="1" x14ac:dyDescent="0.25">
      <c r="A13" s="7">
        <v>71</v>
      </c>
      <c r="B13" s="8">
        <v>2016</v>
      </c>
      <c r="C13" s="8">
        <v>11</v>
      </c>
      <c r="D13" s="27">
        <v>56986.785310291074</v>
      </c>
      <c r="E13" s="39">
        <v>18354855</v>
      </c>
      <c r="F13" s="43">
        <f t="shared" si="0"/>
        <v>0.3099592356701496</v>
      </c>
      <c r="G13" s="10">
        <f t="shared" si="1"/>
        <v>56560.915614989142</v>
      </c>
    </row>
    <row r="14" spans="1:7" ht="13.35" customHeight="1" x14ac:dyDescent="0.25">
      <c r="A14" s="7">
        <v>72</v>
      </c>
      <c r="B14" s="8">
        <v>2017</v>
      </c>
      <c r="C14" s="8">
        <v>12</v>
      </c>
      <c r="D14" s="27">
        <v>59485.301587392081</v>
      </c>
      <c r="E14" s="39">
        <v>18653146</v>
      </c>
      <c r="F14" s="43">
        <f t="shared" si="0"/>
        <v>0.3528690812648797</v>
      </c>
      <c r="G14" s="10">
        <f t="shared" si="1"/>
        <v>58137.703531374114</v>
      </c>
    </row>
    <row r="15" spans="1:7" ht="13.35" customHeight="1" x14ac:dyDescent="0.25">
      <c r="A15" s="7">
        <v>73</v>
      </c>
      <c r="B15" s="8">
        <v>2018</v>
      </c>
      <c r="C15" s="8">
        <v>13</v>
      </c>
      <c r="D15" s="27">
        <v>61250.347667230191</v>
      </c>
      <c r="E15" s="39">
        <v>18929866</v>
      </c>
      <c r="F15" s="43">
        <f t="shared" si="0"/>
        <v>0.38210935698383602</v>
      </c>
      <c r="G15" s="10">
        <f t="shared" si="1"/>
        <v>59758.44865931099</v>
      </c>
    </row>
    <row r="16" spans="1:7" ht="13.35" customHeight="1" x14ac:dyDescent="0.25">
      <c r="A16" s="7">
        <v>74</v>
      </c>
      <c r="B16" s="8">
        <v>2019</v>
      </c>
      <c r="C16" s="8">
        <v>14</v>
      </c>
      <c r="D16" s="27">
        <v>61345.529182006161</v>
      </c>
      <c r="E16" s="39">
        <v>19191510</v>
      </c>
      <c r="F16" s="43">
        <f t="shared" si="0"/>
        <v>0.38366212590798676</v>
      </c>
      <c r="G16" s="10">
        <f t="shared" si="1"/>
        <v>61424.376424506889</v>
      </c>
    </row>
    <row r="17" spans="1:17" ht="13.35" customHeight="1" x14ac:dyDescent="0.25">
      <c r="A17" s="7">
        <v>75</v>
      </c>
      <c r="B17" s="8">
        <v>2020</v>
      </c>
      <c r="C17" s="8">
        <v>15</v>
      </c>
      <c r="D17" s="27">
        <v>59189.703857430002</v>
      </c>
      <c r="E17" s="39">
        <v>19411454</v>
      </c>
      <c r="F17" s="43">
        <f t="shared" si="0"/>
        <v>0.34788743681212891</v>
      </c>
      <c r="G17" s="10">
        <f t="shared" si="1"/>
        <v>63136.746414712237</v>
      </c>
    </row>
    <row r="18" spans="1:17" ht="13.35" customHeight="1" x14ac:dyDescent="0.25">
      <c r="A18" s="7">
        <v>76</v>
      </c>
      <c r="B18" s="8">
        <v>2021</v>
      </c>
      <c r="C18" s="8">
        <v>16</v>
      </c>
      <c r="D18" s="27">
        <v>67731.261071171655</v>
      </c>
      <c r="E18" s="39">
        <v>19617046</v>
      </c>
      <c r="F18" s="43">
        <f t="shared" si="0"/>
        <v>0.48268766352195269</v>
      </c>
      <c r="G18" s="10">
        <f t="shared" si="1"/>
        <v>64896.853332079707</v>
      </c>
    </row>
    <row r="19" spans="1:17" ht="13.35" customHeight="1" x14ac:dyDescent="0.25">
      <c r="A19" s="7">
        <v>77</v>
      </c>
      <c r="B19" s="8">
        <v>2022</v>
      </c>
      <c r="C19" s="8">
        <v>17</v>
      </c>
      <c r="D19" s="27">
        <v>68218.805333561977</v>
      </c>
      <c r="E19" s="39">
        <v>19839704</v>
      </c>
      <c r="F19" s="43">
        <f t="shared" si="0"/>
        <v>0.48986009624487364</v>
      </c>
      <c r="G19" s="10">
        <f t="shared" si="1"/>
        <v>66706.027972072858</v>
      </c>
    </row>
    <row r="20" spans="1:17" ht="13.35" customHeight="1" x14ac:dyDescent="0.25">
      <c r="A20" s="7">
        <v>78</v>
      </c>
      <c r="B20" s="8">
        <v>2023</v>
      </c>
      <c r="C20" s="8">
        <v>18</v>
      </c>
      <c r="D20" s="27">
        <v>66167.359630360719</v>
      </c>
      <c r="E20" s="39">
        <v>20055492</v>
      </c>
      <c r="F20" s="43">
        <f t="shared" si="0"/>
        <v>0.45932711578265933</v>
      </c>
      <c r="G20" s="10">
        <f t="shared" si="1"/>
        <v>68565.638229664371</v>
      </c>
    </row>
    <row r="21" spans="1:17" ht="13.2" customHeight="1" x14ac:dyDescent="0.25">
      <c r="A21" s="7">
        <v>79</v>
      </c>
      <c r="B21" s="8">
        <v>2024</v>
      </c>
      <c r="C21" s="8">
        <v>19</v>
      </c>
      <c r="D21" s="27">
        <v>67706.833614973919</v>
      </c>
      <c r="E21" s="39">
        <v>20278946</v>
      </c>
      <c r="F21" s="43">
        <f t="shared" si="0"/>
        <v>0.482326945859478</v>
      </c>
      <c r="G21" s="10">
        <f t="shared" si="1"/>
        <v>70477.090133584876</v>
      </c>
    </row>
    <row r="22" spans="1:17" ht="13.35" customHeight="1" x14ac:dyDescent="0.25">
      <c r="A22" s="7">
        <v>80</v>
      </c>
    </row>
    <row r="23" spans="1:17" ht="13.35" customHeight="1" x14ac:dyDescent="0.3">
      <c r="A23" s="7">
        <v>108</v>
      </c>
      <c r="B23" t="s">
        <v>22</v>
      </c>
      <c r="C23"/>
      <c r="D23"/>
      <c r="E23"/>
      <c r="F23"/>
      <c r="G23"/>
      <c r="H23"/>
      <c r="I23"/>
      <c r="J23"/>
    </row>
    <row r="24" spans="1:17" ht="13.35" customHeight="1" thickBot="1" x14ac:dyDescent="0.35">
      <c r="A24" s="7">
        <v>109</v>
      </c>
      <c r="B24"/>
      <c r="C24"/>
      <c r="D24"/>
      <c r="E24"/>
      <c r="F24"/>
      <c r="G24"/>
      <c r="H24"/>
      <c r="I24"/>
      <c r="J24"/>
    </row>
    <row r="25" spans="1:17" ht="13.35" customHeight="1" x14ac:dyDescent="0.3">
      <c r="A25" s="7">
        <v>110</v>
      </c>
      <c r="B25" s="47" t="s">
        <v>23</v>
      </c>
      <c r="C25" s="47"/>
      <c r="D25"/>
      <c r="E25"/>
      <c r="F25"/>
      <c r="G25"/>
      <c r="H25"/>
      <c r="I25"/>
      <c r="J25"/>
    </row>
    <row r="26" spans="1:17" ht="13.35" customHeight="1" x14ac:dyDescent="0.3">
      <c r="A26" s="7">
        <v>111</v>
      </c>
      <c r="B26" t="s">
        <v>24</v>
      </c>
      <c r="C26">
        <v>0.99425001004827773</v>
      </c>
      <c r="D26"/>
      <c r="E26"/>
      <c r="F26"/>
      <c r="G26"/>
      <c r="H26"/>
      <c r="I26"/>
      <c r="J26"/>
    </row>
    <row r="27" spans="1:17" ht="13.35" customHeight="1" x14ac:dyDescent="0.3">
      <c r="A27" s="7">
        <v>112</v>
      </c>
      <c r="B27" t="s">
        <v>25</v>
      </c>
      <c r="C27">
        <v>0.98853308248100036</v>
      </c>
      <c r="D27"/>
      <c r="E27"/>
      <c r="F27"/>
      <c r="G27"/>
      <c r="H27"/>
      <c r="I27"/>
      <c r="J27"/>
    </row>
    <row r="28" spans="1:17" ht="13.2" customHeight="1" x14ac:dyDescent="0.3">
      <c r="A28" s="7">
        <v>113</v>
      </c>
      <c r="B28" t="s">
        <v>26</v>
      </c>
      <c r="C28">
        <v>0.93297752692544478</v>
      </c>
      <c r="D28"/>
      <c r="E28"/>
      <c r="F28"/>
      <c r="G28"/>
      <c r="H28"/>
      <c r="I28"/>
      <c r="J28"/>
    </row>
    <row r="29" spans="1:17" ht="12.75" customHeight="1" x14ac:dyDescent="0.3">
      <c r="B29" t="s">
        <v>27</v>
      </c>
      <c r="C29">
        <v>3.4690648173868313E-2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ht="12" customHeight="1" thickBot="1" x14ac:dyDescent="0.35">
      <c r="B30" s="45" t="s">
        <v>28</v>
      </c>
      <c r="C30" s="45">
        <v>19</v>
      </c>
      <c r="D30"/>
      <c r="E30"/>
      <c r="F30"/>
      <c r="G30"/>
      <c r="H30"/>
      <c r="I30"/>
      <c r="J30"/>
      <c r="L30"/>
      <c r="M30"/>
      <c r="N30"/>
      <c r="O30"/>
      <c r="P30"/>
      <c r="Q30"/>
    </row>
    <row r="31" spans="1:17" ht="16.8" customHeight="1" x14ac:dyDescent="0.3">
      <c r="B31"/>
      <c r="C31"/>
      <c r="D31"/>
      <c r="E31"/>
      <c r="F31"/>
      <c r="G31"/>
      <c r="H31"/>
      <c r="I31"/>
      <c r="J31"/>
      <c r="K31"/>
      <c r="L31"/>
      <c r="M31"/>
    </row>
    <row r="32" spans="1:17" ht="12.75" customHeight="1" thickBot="1" x14ac:dyDescent="0.35">
      <c r="B32" t="s">
        <v>29</v>
      </c>
      <c r="C32"/>
      <c r="D32"/>
      <c r="E32"/>
      <c r="F32"/>
      <c r="G32"/>
      <c r="H32"/>
      <c r="I32"/>
      <c r="J32"/>
      <c r="K32"/>
      <c r="L32"/>
      <c r="M32"/>
    </row>
    <row r="33" spans="2:13" ht="12.75" customHeight="1" x14ac:dyDescent="0.3">
      <c r="B33" s="46"/>
      <c r="C33" s="46" t="s">
        <v>34</v>
      </c>
      <c r="D33" s="46" t="s">
        <v>35</v>
      </c>
      <c r="E33" s="46" t="s">
        <v>36</v>
      </c>
      <c r="F33" s="46" t="s">
        <v>37</v>
      </c>
      <c r="G33" s="46" t="s">
        <v>38</v>
      </c>
      <c r="H33"/>
      <c r="I33"/>
      <c r="J33"/>
      <c r="K33"/>
      <c r="L33"/>
      <c r="M33"/>
    </row>
    <row r="34" spans="2:13" ht="12.75" customHeight="1" x14ac:dyDescent="0.3">
      <c r="B34" t="s">
        <v>30</v>
      </c>
      <c r="C34">
        <v>1</v>
      </c>
      <c r="D34">
        <v>1.8674193449626124</v>
      </c>
      <c r="E34">
        <v>1.8674193449626124</v>
      </c>
      <c r="F34">
        <v>1551.7331013478993</v>
      </c>
      <c r="G34">
        <v>3.7939999687279228E-18</v>
      </c>
      <c r="H34"/>
      <c r="I34"/>
      <c r="J34"/>
      <c r="K34"/>
      <c r="L34"/>
      <c r="M34"/>
    </row>
    <row r="35" spans="2:13" ht="12.75" customHeight="1" x14ac:dyDescent="0.3">
      <c r="B35" t="s">
        <v>31</v>
      </c>
      <c r="C35">
        <v>18</v>
      </c>
      <c r="D35">
        <v>2.1661939273016032E-2</v>
      </c>
      <c r="E35">
        <v>1.2034410707231129E-3</v>
      </c>
      <c r="F35"/>
      <c r="G35"/>
      <c r="H35"/>
      <c r="I35"/>
      <c r="J35"/>
      <c r="K35"/>
      <c r="L35"/>
      <c r="M35"/>
    </row>
    <row r="36" spans="2:13" ht="12.75" customHeight="1" thickBot="1" x14ac:dyDescent="0.35">
      <c r="B36" s="45" t="s">
        <v>32</v>
      </c>
      <c r="C36" s="45">
        <v>19</v>
      </c>
      <c r="D36" s="45">
        <v>1.8890812842356284</v>
      </c>
      <c r="E36" s="45"/>
      <c r="F36" s="45"/>
      <c r="G36" s="45"/>
      <c r="H36"/>
      <c r="I36"/>
      <c r="J36"/>
      <c r="K36"/>
      <c r="L36"/>
      <c r="M36"/>
    </row>
    <row r="37" spans="2:13" ht="12.75" customHeight="1" thickBot="1" x14ac:dyDescent="0.35">
      <c r="B37"/>
      <c r="C37"/>
      <c r="D37"/>
      <c r="E37"/>
      <c r="F37"/>
      <c r="G37"/>
      <c r="H37"/>
      <c r="I37"/>
      <c r="J37"/>
      <c r="K37"/>
      <c r="L37"/>
      <c r="M37"/>
    </row>
    <row r="38" spans="2:13" ht="12.75" customHeight="1" x14ac:dyDescent="0.3">
      <c r="B38" s="46"/>
      <c r="C38" s="46" t="s">
        <v>39</v>
      </c>
      <c r="D38" s="46" t="s">
        <v>27</v>
      </c>
      <c r="E38" s="46" t="s">
        <v>40</v>
      </c>
      <c r="F38" s="46" t="s">
        <v>41</v>
      </c>
      <c r="G38" s="46" t="s">
        <v>42</v>
      </c>
      <c r="H38" s="46" t="s">
        <v>43</v>
      </c>
      <c r="I38" s="46" t="s">
        <v>44</v>
      </c>
      <c r="J38" s="46" t="s">
        <v>45</v>
      </c>
      <c r="K38"/>
      <c r="L38"/>
      <c r="M38"/>
    </row>
    <row r="39" spans="2:13" ht="12.75" customHeight="1" x14ac:dyDescent="0.3">
      <c r="B39" t="s">
        <v>33</v>
      </c>
      <c r="C39">
        <v>0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/>
      <c r="L39"/>
      <c r="M39"/>
    </row>
    <row r="40" spans="2:13" ht="12.75" customHeight="1" thickBot="1" x14ac:dyDescent="0.35">
      <c r="B40" s="45" t="s">
        <v>46</v>
      </c>
      <c r="C40" s="45">
        <v>2.749618556514042E-2</v>
      </c>
      <c r="D40" s="45">
        <v>6.9801368579413691E-4</v>
      </c>
      <c r="E40" s="45">
        <v>39.392043630000956</v>
      </c>
      <c r="F40" s="45">
        <v>6.3906945684368274E-19</v>
      </c>
      <c r="G40" s="45">
        <v>2.6029713228265635E-2</v>
      </c>
      <c r="H40" s="45">
        <v>2.8962657902015205E-2</v>
      </c>
      <c r="I40" s="45">
        <v>2.6029713228265635E-2</v>
      </c>
      <c r="J40" s="45">
        <v>2.8962657902015205E-2</v>
      </c>
      <c r="K40"/>
      <c r="L40"/>
      <c r="M40"/>
    </row>
    <row r="41" spans="2:13" ht="12.75" customHeight="1" x14ac:dyDescent="0.3">
      <c r="B41"/>
      <c r="C41"/>
      <c r="D41"/>
      <c r="E41"/>
      <c r="F41"/>
      <c r="G41"/>
      <c r="H41"/>
      <c r="I41"/>
      <c r="J41"/>
      <c r="K41"/>
      <c r="L41"/>
      <c r="M41"/>
    </row>
    <row r="42" spans="2:13" ht="12.75" customHeight="1" x14ac:dyDescent="0.3">
      <c r="B42"/>
      <c r="C42"/>
      <c r="D42"/>
      <c r="E42"/>
      <c r="F42"/>
      <c r="G42"/>
      <c r="H42"/>
      <c r="I42"/>
      <c r="J42"/>
      <c r="K42"/>
      <c r="L42"/>
      <c r="M42"/>
    </row>
    <row r="43" spans="2:13" ht="12.75" customHeight="1" x14ac:dyDescent="0.3">
      <c r="B43"/>
      <c r="C43"/>
      <c r="D43"/>
      <c r="E43"/>
      <c r="F43"/>
      <c r="G43"/>
      <c r="H43"/>
      <c r="I43"/>
      <c r="J43"/>
      <c r="K43"/>
      <c r="L43"/>
      <c r="M43"/>
    </row>
    <row r="44" spans="2:13" ht="12.75" customHeight="1" x14ac:dyDescent="0.3">
      <c r="B44" t="s">
        <v>50</v>
      </c>
      <c r="C44"/>
      <c r="D44"/>
      <c r="E44"/>
      <c r="F44"/>
      <c r="G44"/>
      <c r="H44"/>
      <c r="I44"/>
      <c r="J44"/>
      <c r="K44"/>
      <c r="L44"/>
      <c r="M44"/>
    </row>
    <row r="45" spans="2:13" ht="12.75" customHeight="1" thickBot="1" x14ac:dyDescent="0.35">
      <c r="B45"/>
      <c r="C45"/>
      <c r="D45"/>
      <c r="E45"/>
      <c r="F45"/>
      <c r="G45"/>
      <c r="H45"/>
      <c r="I45"/>
      <c r="J45"/>
    </row>
    <row r="46" spans="2:13" ht="12.75" customHeight="1" x14ac:dyDescent="0.3">
      <c r="B46" s="46" t="s">
        <v>51</v>
      </c>
      <c r="C46" s="51" t="s">
        <v>54</v>
      </c>
      <c r="D46" s="46" t="s">
        <v>58</v>
      </c>
      <c r="E46"/>
      <c r="F46"/>
      <c r="G46"/>
      <c r="H46"/>
      <c r="I46"/>
      <c r="J46"/>
    </row>
    <row r="47" spans="2:13" ht="12.75" customHeight="1" x14ac:dyDescent="0.3">
      <c r="B47">
        <v>1</v>
      </c>
      <c r="C47">
        <v>2.749618556514042E-2</v>
      </c>
      <c r="E47"/>
      <c r="F47"/>
      <c r="G47"/>
      <c r="H47"/>
      <c r="I47"/>
      <c r="J47"/>
    </row>
    <row r="48" spans="2:13" ht="12.75" customHeight="1" x14ac:dyDescent="0.3">
      <c r="B48">
        <v>2</v>
      </c>
      <c r="C48">
        <v>5.499237113028084E-2</v>
      </c>
      <c r="E48"/>
      <c r="F48"/>
      <c r="G48"/>
      <c r="H48"/>
      <c r="I48"/>
      <c r="J48"/>
    </row>
    <row r="49" spans="2:10" ht="12.75" customHeight="1" x14ac:dyDescent="0.3">
      <c r="B49">
        <v>3</v>
      </c>
      <c r="C49">
        <v>8.2488556695421267E-2</v>
      </c>
      <c r="E49"/>
      <c r="F49"/>
      <c r="G49"/>
      <c r="H49"/>
      <c r="I49"/>
      <c r="J49"/>
    </row>
    <row r="50" spans="2:10" ht="12.75" customHeight="1" x14ac:dyDescent="0.3">
      <c r="B50">
        <v>4</v>
      </c>
      <c r="C50">
        <v>0.10998474226056168</v>
      </c>
      <c r="E50"/>
      <c r="F50"/>
      <c r="G50"/>
      <c r="H50"/>
      <c r="I50"/>
      <c r="J50"/>
    </row>
    <row r="51" spans="2:10" ht="12.75" customHeight="1" x14ac:dyDescent="0.3">
      <c r="B51">
        <v>5</v>
      </c>
      <c r="C51">
        <v>0.13748092782570209</v>
      </c>
      <c r="E51"/>
      <c r="F51"/>
      <c r="G51"/>
      <c r="H51"/>
      <c r="I51"/>
      <c r="J51"/>
    </row>
    <row r="52" spans="2:10" ht="12.75" customHeight="1" x14ac:dyDescent="0.3">
      <c r="B52">
        <v>6</v>
      </c>
      <c r="C52">
        <v>0.16497711339084253</v>
      </c>
      <c r="E52"/>
      <c r="F52"/>
      <c r="G52"/>
      <c r="H52"/>
      <c r="I52"/>
      <c r="J52"/>
    </row>
    <row r="53" spans="2:10" ht="12.75" customHeight="1" x14ac:dyDescent="0.3">
      <c r="B53">
        <v>7</v>
      </c>
      <c r="C53">
        <v>0.19247329895598295</v>
      </c>
      <c r="E53"/>
      <c r="F53"/>
      <c r="G53"/>
      <c r="H53"/>
      <c r="I53"/>
      <c r="J53"/>
    </row>
    <row r="54" spans="2:10" ht="12.75" customHeight="1" x14ac:dyDescent="0.3">
      <c r="B54">
        <v>8</v>
      </c>
      <c r="C54">
        <v>0.21996948452112336</v>
      </c>
      <c r="E54"/>
      <c r="F54"/>
      <c r="G54"/>
      <c r="H54"/>
      <c r="I54"/>
      <c r="J54"/>
    </row>
    <row r="55" spans="2:10" ht="12.75" customHeight="1" x14ac:dyDescent="0.3">
      <c r="B55">
        <v>9</v>
      </c>
      <c r="C55">
        <v>0.24746567008626377</v>
      </c>
      <c r="E55"/>
      <c r="F55"/>
      <c r="G55"/>
      <c r="H55"/>
      <c r="I55"/>
      <c r="J55"/>
    </row>
    <row r="56" spans="2:10" ht="12.75" customHeight="1" x14ac:dyDescent="0.3">
      <c r="B56">
        <v>10</v>
      </c>
      <c r="C56">
        <v>0.27496185565140419</v>
      </c>
      <c r="E56"/>
      <c r="F56"/>
      <c r="G56"/>
      <c r="H56"/>
      <c r="I56"/>
      <c r="J56"/>
    </row>
    <row r="57" spans="2:10" ht="12.75" customHeight="1" x14ac:dyDescent="0.3">
      <c r="B57">
        <v>11</v>
      </c>
      <c r="C57">
        <v>0.30245804121654463</v>
      </c>
      <c r="E57"/>
      <c r="F57"/>
      <c r="G57"/>
      <c r="H57"/>
      <c r="I57"/>
      <c r="J57"/>
    </row>
    <row r="58" spans="2:10" ht="12.75" customHeight="1" x14ac:dyDescent="0.3">
      <c r="B58">
        <v>12</v>
      </c>
      <c r="C58">
        <v>0.32995422678168507</v>
      </c>
      <c r="E58"/>
      <c r="F58"/>
      <c r="G58"/>
      <c r="H58"/>
      <c r="I58"/>
      <c r="J58"/>
    </row>
    <row r="59" spans="2:10" ht="12.75" customHeight="1" x14ac:dyDescent="0.3">
      <c r="B59">
        <v>13</v>
      </c>
      <c r="C59">
        <v>0.35745041234682545</v>
      </c>
      <c r="E59"/>
      <c r="F59"/>
      <c r="G59"/>
      <c r="H59"/>
      <c r="I59"/>
      <c r="J59"/>
    </row>
    <row r="60" spans="2:10" ht="12.75" customHeight="1" x14ac:dyDescent="0.3">
      <c r="B60">
        <v>14</v>
      </c>
      <c r="C60">
        <v>0.38494659791196589</v>
      </c>
      <c r="E60"/>
      <c r="F60"/>
      <c r="G60"/>
      <c r="H60"/>
      <c r="I60"/>
      <c r="J60"/>
    </row>
    <row r="61" spans="2:10" ht="12.75" customHeight="1" x14ac:dyDescent="0.3">
      <c r="B61">
        <v>15</v>
      </c>
      <c r="C61">
        <v>0.41244278347710628</v>
      </c>
      <c r="E61"/>
      <c r="F61"/>
      <c r="G61"/>
      <c r="H61"/>
      <c r="I61"/>
      <c r="J61"/>
    </row>
    <row r="62" spans="2:10" ht="12.75" customHeight="1" x14ac:dyDescent="0.3">
      <c r="B62">
        <v>16</v>
      </c>
      <c r="C62">
        <v>0.43993896904224672</v>
      </c>
      <c r="E62"/>
      <c r="F62"/>
      <c r="G62"/>
      <c r="H62"/>
      <c r="I62"/>
      <c r="J62"/>
    </row>
    <row r="63" spans="2:10" ht="12.75" customHeight="1" x14ac:dyDescent="0.3">
      <c r="B63">
        <v>17</v>
      </c>
      <c r="C63">
        <v>0.46743515460738716</v>
      </c>
      <c r="E63"/>
      <c r="F63"/>
      <c r="G63"/>
      <c r="H63"/>
      <c r="I63"/>
      <c r="J63"/>
    </row>
    <row r="64" spans="2:10" ht="12.75" customHeight="1" x14ac:dyDescent="0.3">
      <c r="B64">
        <v>18</v>
      </c>
      <c r="C64">
        <v>0.49493134017252755</v>
      </c>
      <c r="E64"/>
      <c r="F64"/>
      <c r="G64"/>
      <c r="H64"/>
      <c r="I64"/>
      <c r="J64"/>
    </row>
    <row r="65" spans="2:10" ht="12.75" customHeight="1" thickBot="1" x14ac:dyDescent="0.35">
      <c r="B65" s="45">
        <v>19</v>
      </c>
      <c r="C65" s="45">
        <v>0.52242752573766793</v>
      </c>
      <c r="E65"/>
      <c r="F65"/>
      <c r="G65"/>
      <c r="H65"/>
      <c r="I65"/>
      <c r="J65"/>
    </row>
    <row r="66" spans="2:10" ht="12.75" customHeight="1" x14ac:dyDescent="0.25">
      <c r="B66" s="3">
        <v>20</v>
      </c>
    </row>
    <row r="67" spans="2:10" ht="12.75" customHeight="1" x14ac:dyDescent="0.25">
      <c r="B67" s="3">
        <v>21</v>
      </c>
    </row>
    <row r="68" spans="2:10" ht="12.75" customHeight="1" x14ac:dyDescent="0.25">
      <c r="B68" s="3">
        <v>22</v>
      </c>
    </row>
    <row r="69" spans="2:10" ht="12.75" customHeight="1" x14ac:dyDescent="0.25">
      <c r="B69" s="3">
        <v>23</v>
      </c>
    </row>
    <row r="70" spans="2:10" ht="12.75" customHeight="1" x14ac:dyDescent="0.25">
      <c r="B70" s="3">
        <v>24</v>
      </c>
    </row>
    <row r="71" spans="2:10" ht="12.75" customHeight="1" x14ac:dyDescent="0.25">
      <c r="B71" s="3">
        <v>25</v>
      </c>
    </row>
    <row r="72" spans="2:10" ht="12.75" customHeight="1" x14ac:dyDescent="0.25">
      <c r="B72" s="3">
        <v>26</v>
      </c>
    </row>
    <row r="73" spans="2:10" ht="12.75" customHeight="1" x14ac:dyDescent="0.25">
      <c r="B73" s="3">
        <v>27</v>
      </c>
    </row>
    <row r="74" spans="2:10" ht="12.75" customHeight="1" x14ac:dyDescent="0.25">
      <c r="B74" s="3">
        <v>28</v>
      </c>
    </row>
    <row r="75" spans="2:10" ht="12.75" customHeight="1" x14ac:dyDescent="0.25">
      <c r="B75" s="3">
        <v>29</v>
      </c>
    </row>
    <row r="76" spans="2:10" ht="12.75" customHeight="1" x14ac:dyDescent="0.25">
      <c r="B76" s="3">
        <v>30</v>
      </c>
    </row>
    <row r="77" spans="2:10" ht="12.75" customHeight="1" x14ac:dyDescent="0.25">
      <c r="B77" s="3">
        <v>31</v>
      </c>
    </row>
    <row r="78" spans="2:10" ht="12.75" customHeight="1" x14ac:dyDescent="0.25">
      <c r="B78" s="3">
        <v>32</v>
      </c>
    </row>
    <row r="79" spans="2:10" ht="12.75" customHeight="1" x14ac:dyDescent="0.25">
      <c r="B79" s="3">
        <v>33</v>
      </c>
    </row>
    <row r="80" spans="2:10" ht="12.75" customHeight="1" x14ac:dyDescent="0.25">
      <c r="B80" s="3">
        <v>34</v>
      </c>
    </row>
    <row r="81" spans="2:4" ht="12.75" customHeight="1" x14ac:dyDescent="0.3">
      <c r="B81" s="3">
        <v>35</v>
      </c>
      <c r="D81">
        <v>2.7449691305314772E-2</v>
      </c>
    </row>
    <row r="82" spans="2:4" ht="12.75" customHeight="1" x14ac:dyDescent="0.3">
      <c r="B82" s="3">
        <v>36</v>
      </c>
      <c r="D82">
        <v>4.466858058095971E-2</v>
      </c>
    </row>
    <row r="83" spans="2:4" ht="12.75" customHeight="1" x14ac:dyDescent="0.3">
      <c r="B83" s="3">
        <v>37</v>
      </c>
      <c r="D83">
        <v>-1.7579442475888288E-2</v>
      </c>
    </row>
    <row r="84" spans="2:4" ht="12.75" customHeight="1" x14ac:dyDescent="0.3">
      <c r="B84" s="3">
        <v>38</v>
      </c>
      <c r="D84">
        <v>-7.3956411266617048E-2</v>
      </c>
    </row>
    <row r="85" spans="2:4" ht="12.75" customHeight="1" x14ac:dyDescent="0.3">
      <c r="B85" s="3">
        <v>39</v>
      </c>
      <c r="D85">
        <v>1.6406183065782926E-2</v>
      </c>
    </row>
    <row r="86" spans="2:4" ht="12.75" customHeight="1" x14ac:dyDescent="0.3">
      <c r="B86" s="3">
        <v>40</v>
      </c>
      <c r="D86">
        <v>2.8355508929695683E-2</v>
      </c>
    </row>
    <row r="87" spans="2:4" ht="12.75" customHeight="1" x14ac:dyDescent="0.3">
      <c r="B87" s="3">
        <v>41</v>
      </c>
      <c r="D87">
        <v>1.97248669959528E-2</v>
      </c>
    </row>
    <row r="88" spans="2:4" ht="12.75" customHeight="1" x14ac:dyDescent="0.3">
      <c r="B88" s="3">
        <v>42</v>
      </c>
      <c r="D88">
        <v>2.3087406842833391E-2</v>
      </c>
    </row>
    <row r="89" spans="2:4" ht="12.75" customHeight="1" x14ac:dyDescent="0.3">
      <c r="B89" s="3">
        <v>43</v>
      </c>
      <c r="D89">
        <v>2.1207535464530441E-2</v>
      </c>
    </row>
    <row r="90" spans="2:4" ht="12.75" customHeight="1" x14ac:dyDescent="0.3">
      <c r="B90" s="3">
        <v>44</v>
      </c>
      <c r="D90">
        <v>1.1181108037662035E-2</v>
      </c>
    </row>
    <row r="91" spans="2:4" ht="12.75" customHeight="1" x14ac:dyDescent="0.3">
      <c r="B91" s="3">
        <v>45</v>
      </c>
      <c r="D91">
        <v>7.5011944536049757E-3</v>
      </c>
    </row>
    <row r="92" spans="2:4" ht="12.75" customHeight="1" x14ac:dyDescent="0.3">
      <c r="B92" s="3">
        <v>46</v>
      </c>
      <c r="D92">
        <v>2.2914854483194635E-2</v>
      </c>
    </row>
    <row r="93" spans="2:4" ht="12.75" customHeight="1" x14ac:dyDescent="0.3">
      <c r="B93" s="3">
        <v>47</v>
      </c>
      <c r="D93">
        <v>2.4658944637010571E-2</v>
      </c>
    </row>
    <row r="94" spans="2:4" ht="12.75" customHeight="1" x14ac:dyDescent="0.3">
      <c r="B94" s="3">
        <v>48</v>
      </c>
      <c r="D94">
        <v>-1.2844720039791313E-3</v>
      </c>
    </row>
    <row r="95" spans="2:4" ht="12.75" customHeight="1" x14ac:dyDescent="0.3">
      <c r="B95" s="3">
        <v>49</v>
      </c>
      <c r="D95">
        <v>-6.4555346664977364E-2</v>
      </c>
    </row>
    <row r="96" spans="2:4" ht="12.75" customHeight="1" x14ac:dyDescent="0.3">
      <c r="B96" s="3">
        <v>50</v>
      </c>
      <c r="D96">
        <v>4.2748694479705973E-2</v>
      </c>
    </row>
    <row r="97" spans="2:4" ht="12.75" customHeight="1" x14ac:dyDescent="0.3">
      <c r="B97" s="3">
        <v>51</v>
      </c>
      <c r="D97">
        <v>2.2424941637486484E-2</v>
      </c>
    </row>
    <row r="98" spans="2:4" ht="12.75" customHeight="1" x14ac:dyDescent="0.3">
      <c r="B98" s="3">
        <v>52</v>
      </c>
      <c r="D98">
        <v>-3.5604224389868211E-2</v>
      </c>
    </row>
    <row r="99" spans="2:4" ht="12.75" customHeight="1" thickBot="1" x14ac:dyDescent="0.35">
      <c r="B99" s="3">
        <v>53</v>
      </c>
      <c r="D99" s="45">
        <v>-4.0100579878189935E-2</v>
      </c>
    </row>
  </sheetData>
  <pageMargins left="0.1" right="0.1" top="0.1" bottom="0.1" header="0.5" footer="0.5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BB51-7526-49B6-9975-4C9A96B190EB}">
  <sheetPr>
    <pageSetUpPr fitToPage="1"/>
  </sheetPr>
  <dimension ref="A1:R112"/>
  <sheetViews>
    <sheetView topLeftCell="I109" zoomScale="90" zoomScaleNormal="90" workbookViewId="0">
      <selection activeCell="E80" sqref="E80"/>
    </sheetView>
  </sheetViews>
  <sheetFormatPr defaultColWidth="8" defaultRowHeight="12.75" customHeight="1" x14ac:dyDescent="0.25"/>
  <cols>
    <col min="1" max="1" width="9.5" style="3" hidden="1" customWidth="1"/>
    <col min="2" max="3" width="9.5" style="3" customWidth="1"/>
    <col min="4" max="4" width="18.5" style="3" hidden="1" customWidth="1"/>
    <col min="5" max="5" width="16.69921875" style="3" customWidth="1"/>
    <col min="6" max="6" width="13.296875" style="3" hidden="1" customWidth="1"/>
    <col min="7" max="7" width="17" style="3" customWidth="1"/>
    <col min="8" max="8" width="13.59765625" style="3" customWidth="1"/>
    <col min="9" max="9" width="10.796875" style="3" customWidth="1"/>
    <col min="10" max="16384" width="8" style="3"/>
  </cols>
  <sheetData>
    <row r="1" spans="1:8" ht="30" customHeight="1" x14ac:dyDescent="0.35">
      <c r="A1" s="4"/>
      <c r="B1" s="5"/>
      <c r="C1" s="42" t="s">
        <v>20</v>
      </c>
      <c r="D1" s="6" t="s">
        <v>10</v>
      </c>
      <c r="E1" s="6" t="s">
        <v>8</v>
      </c>
      <c r="F1" s="38" t="s">
        <v>11</v>
      </c>
      <c r="G1" s="6" t="s">
        <v>21</v>
      </c>
      <c r="H1" s="6" t="s">
        <v>53</v>
      </c>
    </row>
    <row r="2" spans="1:8" ht="21.6" customHeight="1" x14ac:dyDescent="0.45">
      <c r="A2" s="7">
        <v>60</v>
      </c>
      <c r="B2" s="12">
        <f t="shared" ref="B2:B33" si="0">$C$58+A2</f>
        <v>1971</v>
      </c>
      <c r="C2" s="12">
        <v>0</v>
      </c>
      <c r="D2" s="13">
        <v>1007047</v>
      </c>
      <c r="E2" s="41">
        <f t="shared" ref="E2:E33" si="1">(D2*$C$61*$C$60)/$C$59/F2</f>
        <v>2068.3351972228011</v>
      </c>
      <c r="F2" s="40">
        <v>14913564</v>
      </c>
      <c r="G2" s="49" t="s">
        <v>55</v>
      </c>
      <c r="H2" s="50" t="s">
        <v>56</v>
      </c>
    </row>
    <row r="3" spans="1:8" ht="13.35" customHeight="1" x14ac:dyDescent="0.25">
      <c r="A3" s="7">
        <v>61</v>
      </c>
      <c r="B3" s="8">
        <f t="shared" si="0"/>
        <v>1972</v>
      </c>
      <c r="C3" s="8">
        <v>1</v>
      </c>
      <c r="D3" s="9">
        <v>1146757</v>
      </c>
      <c r="E3" s="27">
        <f t="shared" si="1"/>
        <v>2307.784476939466</v>
      </c>
      <c r="F3" s="39">
        <v>15220495</v>
      </c>
      <c r="G3" s="43">
        <f>LN(E3/$E$2)</f>
        <v>0.10954393226682262</v>
      </c>
      <c r="H3" s="10">
        <f t="shared" ref="H3:H55" si="2">$E$2*EXP($K$55*C3)</f>
        <v>2191.2581952672604</v>
      </c>
    </row>
    <row r="4" spans="1:8" ht="13.35" customHeight="1" x14ac:dyDescent="0.25">
      <c r="A4" s="7">
        <v>62</v>
      </c>
      <c r="B4" s="8">
        <f t="shared" si="0"/>
        <v>1973</v>
      </c>
      <c r="C4" s="8">
        <v>2</v>
      </c>
      <c r="D4" s="9">
        <v>1293910</v>
      </c>
      <c r="E4" s="27">
        <f t="shared" si="1"/>
        <v>2556.121741441757</v>
      </c>
      <c r="F4" s="39">
        <v>15505121</v>
      </c>
      <c r="G4" s="43">
        <f t="shared" ref="G4:G55" si="3">LN(E4/$E$2)</f>
        <v>0.21174713390976332</v>
      </c>
      <c r="H4" s="10">
        <f t="shared" si="2"/>
        <v>2321.4866162762978</v>
      </c>
    </row>
    <row r="5" spans="1:8" ht="13.35" customHeight="1" x14ac:dyDescent="0.25">
      <c r="A5" s="7">
        <v>63</v>
      </c>
      <c r="B5" s="8">
        <f t="shared" si="0"/>
        <v>1974</v>
      </c>
      <c r="C5" s="8">
        <v>3</v>
      </c>
      <c r="D5" s="9">
        <v>1328393</v>
      </c>
      <c r="E5" s="27">
        <f t="shared" si="1"/>
        <v>2577.743211665027</v>
      </c>
      <c r="F5" s="39">
        <v>15784817</v>
      </c>
      <c r="G5" s="43">
        <f t="shared" si="3"/>
        <v>0.2201702608349452</v>
      </c>
      <c r="H5" s="10">
        <f t="shared" si="2"/>
        <v>2459.4546280260056</v>
      </c>
    </row>
    <row r="6" spans="1:8" ht="13.35" customHeight="1" x14ac:dyDescent="0.25">
      <c r="A6" s="7">
        <v>64</v>
      </c>
      <c r="B6" s="8">
        <f t="shared" si="0"/>
        <v>1975</v>
      </c>
      <c r="C6" s="8">
        <v>4</v>
      </c>
      <c r="D6" s="9">
        <v>1410562</v>
      </c>
      <c r="E6" s="27">
        <f t="shared" si="1"/>
        <v>2687.7592486026565</v>
      </c>
      <c r="F6" s="39">
        <v>16075128</v>
      </c>
      <c r="G6" s="43">
        <f t="shared" si="3"/>
        <v>0.26196382225439135</v>
      </c>
      <c r="H6" s="10">
        <f t="shared" si="2"/>
        <v>2605.6222012690719</v>
      </c>
    </row>
    <row r="7" spans="1:8" ht="13.35" customHeight="1" x14ac:dyDescent="0.25">
      <c r="A7" s="7">
        <v>65</v>
      </c>
      <c r="B7" s="8">
        <f t="shared" si="0"/>
        <v>1976</v>
      </c>
      <c r="C7" s="8">
        <v>5</v>
      </c>
      <c r="D7" s="9">
        <v>1612019</v>
      </c>
      <c r="E7" s="27">
        <f t="shared" si="1"/>
        <v>3010.5199978082601</v>
      </c>
      <c r="F7" s="39">
        <v>16401413</v>
      </c>
      <c r="G7" s="43">
        <f t="shared" si="3"/>
        <v>0.37536878944366903</v>
      </c>
      <c r="H7" s="10">
        <f t="shared" si="2"/>
        <v>2760.4766432286046</v>
      </c>
    </row>
    <row r="8" spans="1:8" ht="13.35" customHeight="1" x14ac:dyDescent="0.25">
      <c r="A8" s="7">
        <v>66</v>
      </c>
      <c r="B8" s="8">
        <f t="shared" si="0"/>
        <v>1977</v>
      </c>
      <c r="C8" s="8">
        <v>6</v>
      </c>
      <c r="D8" s="9">
        <v>1795917</v>
      </c>
      <c r="E8" s="27">
        <f t="shared" si="1"/>
        <v>3287.9084211249988</v>
      </c>
      <c r="F8" s="39">
        <v>16730895</v>
      </c>
      <c r="G8" s="43">
        <f t="shared" si="3"/>
        <v>0.46350759320682877</v>
      </c>
      <c r="H8" s="10">
        <f t="shared" si="2"/>
        <v>2924.5342222288486</v>
      </c>
    </row>
    <row r="9" spans="1:8" ht="13.35" customHeight="1" x14ac:dyDescent="0.25">
      <c r="A9" s="7">
        <v>67</v>
      </c>
      <c r="B9" s="8">
        <f t="shared" si="0"/>
        <v>1978</v>
      </c>
      <c r="C9" s="8">
        <v>7</v>
      </c>
      <c r="D9" s="9">
        <v>2039378</v>
      </c>
      <c r="E9" s="27">
        <f t="shared" si="1"/>
        <v>3665.4125477195521</v>
      </c>
      <c r="F9" s="39">
        <v>17042272</v>
      </c>
      <c r="G9" s="43">
        <f t="shared" si="3"/>
        <v>0.57219686204038533</v>
      </c>
      <c r="H9" s="10">
        <f t="shared" si="2"/>
        <v>3098.3418888791516</v>
      </c>
    </row>
    <row r="10" spans="1:8" ht="13.35" customHeight="1" x14ac:dyDescent="0.25">
      <c r="A10" s="7">
        <v>68</v>
      </c>
      <c r="B10" s="8">
        <f t="shared" si="0"/>
        <v>1979</v>
      </c>
      <c r="C10" s="8">
        <v>8</v>
      </c>
      <c r="D10" s="9">
        <v>2219540</v>
      </c>
      <c r="E10" s="27">
        <f t="shared" si="1"/>
        <v>3913.3285009936881</v>
      </c>
      <c r="F10" s="39">
        <v>17372779</v>
      </c>
      <c r="G10" s="43">
        <f t="shared" si="3"/>
        <v>0.637644259747988</v>
      </c>
      <c r="H10" s="10">
        <f t="shared" si="2"/>
        <v>3282.4790995494254</v>
      </c>
    </row>
    <row r="11" spans="1:8" ht="13.35" customHeight="1" x14ac:dyDescent="0.25">
      <c r="A11" s="7">
        <v>69</v>
      </c>
      <c r="B11" s="8">
        <f t="shared" si="0"/>
        <v>1980</v>
      </c>
      <c r="C11" s="8">
        <v>9</v>
      </c>
      <c r="D11" s="9">
        <v>2397980</v>
      </c>
      <c r="E11" s="27">
        <f t="shared" si="1"/>
        <v>4148.7148227401403</v>
      </c>
      <c r="F11" s="39">
        <v>17704538</v>
      </c>
      <c r="G11" s="43">
        <f t="shared" si="3"/>
        <v>0.6960545738707079</v>
      </c>
      <c r="H11" s="10">
        <f t="shared" si="2"/>
        <v>3477.559748216368</v>
      </c>
    </row>
    <row r="12" spans="1:8" ht="13.35" customHeight="1" x14ac:dyDescent="0.25">
      <c r="A12" s="7">
        <v>70</v>
      </c>
      <c r="B12" s="8">
        <f t="shared" si="0"/>
        <v>1981</v>
      </c>
      <c r="C12" s="8">
        <v>10</v>
      </c>
      <c r="D12" s="9">
        <v>2568255</v>
      </c>
      <c r="E12" s="27">
        <f t="shared" si="1"/>
        <v>4363.1030839428186</v>
      </c>
      <c r="F12" s="39">
        <v>18029982</v>
      </c>
      <c r="G12" s="43">
        <f t="shared" si="3"/>
        <v>0.7464394895681904</v>
      </c>
      <c r="H12" s="10">
        <f t="shared" si="2"/>
        <v>3684.2342131210244</v>
      </c>
    </row>
    <row r="13" spans="1:8" ht="13.35" customHeight="1" x14ac:dyDescent="0.25">
      <c r="A13" s="7">
        <v>71</v>
      </c>
      <c r="B13" s="8">
        <f t="shared" si="0"/>
        <v>1982</v>
      </c>
      <c r="C13" s="8">
        <v>11</v>
      </c>
      <c r="D13" s="9">
        <v>2691811</v>
      </c>
      <c r="E13" s="27">
        <f t="shared" si="1"/>
        <v>4492.0670520538069</v>
      </c>
      <c r="F13" s="39">
        <v>18354855</v>
      </c>
      <c r="G13" s="43">
        <f t="shared" si="3"/>
        <v>0.77556893261475168</v>
      </c>
      <c r="H13" s="10">
        <f t="shared" si="2"/>
        <v>3903.1915250610296</v>
      </c>
    </row>
    <row r="14" spans="1:8" ht="13.35" customHeight="1" x14ac:dyDescent="0.25">
      <c r="A14" s="7">
        <v>72</v>
      </c>
      <c r="B14" s="8">
        <f t="shared" si="0"/>
        <v>1983</v>
      </c>
      <c r="C14" s="8">
        <v>12</v>
      </c>
      <c r="D14" s="9">
        <v>2934720</v>
      </c>
      <c r="E14" s="27">
        <f t="shared" si="1"/>
        <v>4819.1140775186732</v>
      </c>
      <c r="F14" s="39">
        <v>18653146</v>
      </c>
      <c r="G14" s="43">
        <f t="shared" si="3"/>
        <v>0.84584607868098094</v>
      </c>
      <c r="H14" s="10">
        <f t="shared" si="2"/>
        <v>4135.1616645463764</v>
      </c>
    </row>
    <row r="15" spans="1:8" ht="13.35" customHeight="1" x14ac:dyDescent="0.25">
      <c r="A15" s="7">
        <v>73</v>
      </c>
      <c r="B15" s="8">
        <f t="shared" si="0"/>
        <v>1984</v>
      </c>
      <c r="C15" s="8">
        <v>13</v>
      </c>
      <c r="D15" s="9">
        <v>3229653</v>
      </c>
      <c r="E15" s="27">
        <f t="shared" si="1"/>
        <v>5225.8982359614729</v>
      </c>
      <c r="F15" s="39">
        <v>18929866</v>
      </c>
      <c r="G15" s="43">
        <f t="shared" si="3"/>
        <v>0.92688266312132106</v>
      </c>
      <c r="H15" s="10">
        <f t="shared" si="2"/>
        <v>4380.9179954771989</v>
      </c>
    </row>
    <row r="16" spans="1:8" ht="13.35" customHeight="1" x14ac:dyDescent="0.25">
      <c r="A16" s="7">
        <v>74</v>
      </c>
      <c r="B16" s="8">
        <f t="shared" si="0"/>
        <v>1985</v>
      </c>
      <c r="C16" s="8">
        <v>14</v>
      </c>
      <c r="D16" s="9">
        <v>3384940</v>
      </c>
      <c r="E16" s="27">
        <f t="shared" si="1"/>
        <v>5402.4959883024649</v>
      </c>
      <c r="F16" s="39">
        <v>19191510</v>
      </c>
      <c r="G16" s="43">
        <f t="shared" si="3"/>
        <v>0.96011703569213935</v>
      </c>
      <c r="H16" s="10">
        <f t="shared" si="2"/>
        <v>4641.279843457186</v>
      </c>
    </row>
    <row r="17" spans="1:18" ht="13.35" customHeight="1" x14ac:dyDescent="0.25">
      <c r="A17" s="7">
        <v>75</v>
      </c>
      <c r="B17" s="8">
        <f t="shared" si="0"/>
        <v>1986</v>
      </c>
      <c r="C17" s="8">
        <v>15</v>
      </c>
      <c r="D17" s="9">
        <v>3774640</v>
      </c>
      <c r="E17" s="27">
        <f t="shared" si="1"/>
        <v>5956.2112898969035</v>
      </c>
      <c r="F17" s="39">
        <v>19411454</v>
      </c>
      <c r="G17" s="43">
        <f t="shared" si="3"/>
        <v>1.057690558183016</v>
      </c>
      <c r="H17" s="10">
        <f t="shared" si="2"/>
        <v>4917.1152273384469</v>
      </c>
    </row>
    <row r="18" spans="1:18" ht="13.35" customHeight="1" x14ac:dyDescent="0.25">
      <c r="A18" s="7">
        <v>76</v>
      </c>
      <c r="B18" s="8">
        <f t="shared" si="0"/>
        <v>1987</v>
      </c>
      <c r="C18" s="8">
        <v>16</v>
      </c>
      <c r="D18" s="9">
        <v>4255959</v>
      </c>
      <c r="E18" s="27">
        <f t="shared" si="1"/>
        <v>6645.3284295758967</v>
      </c>
      <c r="F18" s="39">
        <v>19617046</v>
      </c>
      <c r="G18" s="43">
        <f t="shared" si="3"/>
        <v>1.1671700848683682</v>
      </c>
      <c r="H18" s="10">
        <f t="shared" si="2"/>
        <v>5209.343753104522</v>
      </c>
    </row>
    <row r="19" spans="1:18" ht="13.35" customHeight="1" x14ac:dyDescent="0.25">
      <c r="A19" s="7">
        <v>77</v>
      </c>
      <c r="B19" s="8">
        <f t="shared" si="0"/>
        <v>1988</v>
      </c>
      <c r="C19" s="8">
        <v>17</v>
      </c>
      <c r="D19" s="9">
        <v>4597469</v>
      </c>
      <c r="E19" s="27">
        <f t="shared" si="1"/>
        <v>7098.0041004485693</v>
      </c>
      <c r="F19" s="39">
        <v>19839704</v>
      </c>
      <c r="G19" s="43">
        <f t="shared" si="3"/>
        <v>1.2330696007715178</v>
      </c>
      <c r="H19" s="10">
        <f t="shared" si="2"/>
        <v>5518.9396797394265</v>
      </c>
    </row>
    <row r="20" spans="1:18" ht="13.35" customHeight="1" x14ac:dyDescent="0.25">
      <c r="A20" s="7">
        <v>78</v>
      </c>
      <c r="B20" s="8">
        <f t="shared" si="0"/>
        <v>1989</v>
      </c>
      <c r="C20" s="8">
        <v>18</v>
      </c>
      <c r="D20" s="9">
        <v>4998475</v>
      </c>
      <c r="E20" s="27">
        <f t="shared" si="1"/>
        <v>7634.0821404443741</v>
      </c>
      <c r="F20" s="39">
        <v>20055492</v>
      </c>
      <c r="G20" s="43">
        <f t="shared" si="3"/>
        <v>1.3058786829390172</v>
      </c>
      <c r="H20" s="10">
        <f t="shared" si="2"/>
        <v>5846.9351673040183</v>
      </c>
    </row>
    <row r="21" spans="1:18" ht="13.35" customHeight="1" x14ac:dyDescent="0.25">
      <c r="A21" s="7">
        <v>79</v>
      </c>
      <c r="B21" s="8">
        <f t="shared" si="0"/>
        <v>1990</v>
      </c>
      <c r="C21" s="8">
        <v>19</v>
      </c>
      <c r="D21" s="9">
        <v>5275458</v>
      </c>
      <c r="E21" s="27">
        <f t="shared" si="1"/>
        <v>7968.3319107366933</v>
      </c>
      <c r="F21" s="39">
        <v>20278946</v>
      </c>
      <c r="G21" s="43">
        <f t="shared" si="3"/>
        <v>1.3487311437353575</v>
      </c>
      <c r="H21" s="10">
        <f t="shared" si="2"/>
        <v>6194.4237180484197</v>
      </c>
    </row>
    <row r="22" spans="1:18" ht="13.35" customHeight="1" x14ac:dyDescent="0.25">
      <c r="A22" s="7">
        <v>80</v>
      </c>
      <c r="B22" s="8">
        <f t="shared" si="0"/>
        <v>1991</v>
      </c>
      <c r="C22" s="8">
        <v>20</v>
      </c>
      <c r="D22" s="9">
        <v>5717119</v>
      </c>
      <c r="E22" s="27">
        <f t="shared" si="1"/>
        <v>8540.8366127513655</v>
      </c>
      <c r="F22" s="39">
        <v>20503568</v>
      </c>
      <c r="G22" s="43">
        <f t="shared" si="3"/>
        <v>1.418114935881408</v>
      </c>
      <c r="H22" s="10">
        <f t="shared" si="2"/>
        <v>6562.563822032831</v>
      </c>
    </row>
    <row r="23" spans="1:18" ht="13.35" customHeight="1" x14ac:dyDescent="0.25">
      <c r="A23" s="7">
        <v>81</v>
      </c>
      <c r="B23" s="8">
        <f t="shared" si="0"/>
        <v>1992</v>
      </c>
      <c r="C23" s="8">
        <v>21</v>
      </c>
      <c r="D23" s="9">
        <v>6192253</v>
      </c>
      <c r="E23" s="27">
        <f t="shared" si="1"/>
        <v>9160.9876225472472</v>
      </c>
      <c r="F23" s="39">
        <v>20704227</v>
      </c>
      <c r="G23" s="43">
        <f t="shared" si="3"/>
        <v>1.4882099607860413</v>
      </c>
      <c r="H23" s="10">
        <f t="shared" si="2"/>
        <v>6952.5828194107889</v>
      </c>
    </row>
    <row r="24" spans="1:18" ht="13.35" customHeight="1" x14ac:dyDescent="0.25">
      <c r="A24" s="7">
        <v>82</v>
      </c>
      <c r="B24" s="8">
        <f t="shared" si="0"/>
        <v>1993</v>
      </c>
      <c r="C24" s="8">
        <v>22</v>
      </c>
      <c r="D24" s="9">
        <v>6614235</v>
      </c>
      <c r="E24" s="27">
        <f t="shared" si="1"/>
        <v>9694.0743218020307</v>
      </c>
      <c r="F24" s="39">
        <v>20899019</v>
      </c>
      <c r="G24" s="43">
        <f t="shared" si="3"/>
        <v>1.5447707730342644</v>
      </c>
      <c r="H24" s="10">
        <f t="shared" si="2"/>
        <v>7365.7809922513925</v>
      </c>
    </row>
    <row r="25" spans="1:18" ht="13.35" customHeight="1" x14ac:dyDescent="0.25">
      <c r="A25" s="7">
        <v>83</v>
      </c>
      <c r="B25" s="8">
        <f t="shared" si="0"/>
        <v>1994</v>
      </c>
      <c r="C25" s="8">
        <v>23</v>
      </c>
      <c r="D25" s="9">
        <v>7110573</v>
      </c>
      <c r="E25" s="27">
        <f t="shared" si="1"/>
        <v>10328.79689444334</v>
      </c>
      <c r="F25" s="39">
        <v>21086645</v>
      </c>
      <c r="G25" s="43">
        <f t="shared" si="3"/>
        <v>1.6081917780653614</v>
      </c>
      <c r="H25" s="10">
        <f t="shared" si="2"/>
        <v>7803.5358995421266</v>
      </c>
    </row>
    <row r="26" spans="1:18" ht="13.35" customHeight="1" x14ac:dyDescent="0.25">
      <c r="A26" s="7">
        <v>84</v>
      </c>
      <c r="B26" s="8">
        <f t="shared" si="0"/>
        <v>1995</v>
      </c>
      <c r="C26" s="8">
        <v>24</v>
      </c>
      <c r="D26" s="9">
        <v>7572687</v>
      </c>
      <c r="E26" s="27">
        <f t="shared" si="1"/>
        <v>10906.441281375568</v>
      </c>
      <c r="F26" s="39">
        <v>21267653</v>
      </c>
      <c r="G26" s="43">
        <f t="shared" si="3"/>
        <v>1.6626095267990442</v>
      </c>
      <c r="H26" s="10">
        <f t="shared" si="2"/>
        <v>8267.3069698247728</v>
      </c>
    </row>
    <row r="27" spans="1:18" ht="13.35" customHeight="1" x14ac:dyDescent="0.25">
      <c r="A27" s="7">
        <v>85</v>
      </c>
      <c r="B27" s="8">
        <f t="shared" si="0"/>
        <v>1996</v>
      </c>
      <c r="C27" s="8">
        <v>25</v>
      </c>
      <c r="D27" s="9">
        <v>8040421</v>
      </c>
      <c r="E27" s="27">
        <f t="shared" si="1"/>
        <v>11486.233135681407</v>
      </c>
      <c r="F27" s="39">
        <v>21441432</v>
      </c>
      <c r="G27" s="43">
        <f t="shared" si="3"/>
        <v>1.7144051684705983</v>
      </c>
      <c r="H27" s="10">
        <f t="shared" si="2"/>
        <v>8758.6403667757295</v>
      </c>
    </row>
    <row r="28" spans="1:18" ht="13.35" customHeight="1" x14ac:dyDescent="0.25">
      <c r="A28" s="7">
        <v>86</v>
      </c>
      <c r="B28" s="8">
        <f t="shared" si="0"/>
        <v>1997</v>
      </c>
      <c r="C28" s="8">
        <v>26</v>
      </c>
      <c r="D28" s="9">
        <v>8526981</v>
      </c>
      <c r="E28" s="27">
        <f t="shared" si="1"/>
        <v>12072.816659697146</v>
      </c>
      <c r="F28" s="39">
        <v>21634124</v>
      </c>
      <c r="G28" s="43">
        <f t="shared" si="3"/>
        <v>1.7642123371144152</v>
      </c>
      <c r="H28" s="10">
        <f t="shared" si="2"/>
        <v>9279.1741439521393</v>
      </c>
    </row>
    <row r="29" spans="1:18" ht="13.35" customHeight="1" x14ac:dyDescent="0.25">
      <c r="A29" s="7">
        <v>87</v>
      </c>
      <c r="B29" s="8">
        <f t="shared" si="0"/>
        <v>1998</v>
      </c>
      <c r="C29" s="8">
        <v>27</v>
      </c>
      <c r="D29" s="9">
        <v>8885524</v>
      </c>
      <c r="E29" s="27">
        <f t="shared" si="1"/>
        <v>12464.317134724331</v>
      </c>
      <c r="F29" s="39">
        <v>21835703</v>
      </c>
      <c r="G29" s="43">
        <f t="shared" si="3"/>
        <v>1.796125901718211</v>
      </c>
      <c r="H29" s="10">
        <f t="shared" si="2"/>
        <v>9830.6437058890824</v>
      </c>
    </row>
    <row r="30" spans="1:18" ht="13.35" customHeight="1" x14ac:dyDescent="0.3">
      <c r="A30" s="7">
        <v>88</v>
      </c>
      <c r="B30" s="8">
        <f t="shared" si="0"/>
        <v>1999</v>
      </c>
      <c r="C30" s="8">
        <v>28</v>
      </c>
      <c r="D30" s="9">
        <v>9483696</v>
      </c>
      <c r="E30" s="27">
        <f t="shared" si="1"/>
        <v>13197.770065176859</v>
      </c>
      <c r="F30" s="39">
        <v>22010489</v>
      </c>
      <c r="G30" s="43">
        <f t="shared" si="3"/>
        <v>1.8533038497216769</v>
      </c>
      <c r="H30" s="10">
        <f t="shared" si="2"/>
        <v>10414.887593754715</v>
      </c>
      <c r="M30"/>
      <c r="N30"/>
      <c r="O30"/>
      <c r="P30"/>
      <c r="Q30"/>
      <c r="R30"/>
    </row>
    <row r="31" spans="1:18" ht="13.35" customHeight="1" x14ac:dyDescent="0.3">
      <c r="A31" s="7">
        <v>89</v>
      </c>
      <c r="B31" s="8">
        <f t="shared" si="0"/>
        <v>2000</v>
      </c>
      <c r="C31" s="8">
        <v>29</v>
      </c>
      <c r="D31" s="9">
        <v>10082522</v>
      </c>
      <c r="E31" s="27">
        <f t="shared" si="1"/>
        <v>13921.036457213646</v>
      </c>
      <c r="F31" s="39">
        <v>22184530</v>
      </c>
      <c r="G31" s="43">
        <f t="shared" si="3"/>
        <v>1.9066570791242514</v>
      </c>
      <c r="H31" s="10">
        <f t="shared" si="2"/>
        <v>11033.853614851952</v>
      </c>
      <c r="M31"/>
      <c r="N31"/>
      <c r="O31"/>
      <c r="P31"/>
      <c r="Q31"/>
      <c r="R31"/>
    </row>
    <row r="32" spans="1:18" ht="13.35" customHeight="1" x14ac:dyDescent="0.3">
      <c r="A32" s="7">
        <v>90</v>
      </c>
      <c r="B32" s="8">
        <f t="shared" si="0"/>
        <v>2001</v>
      </c>
      <c r="C32" s="8">
        <v>30</v>
      </c>
      <c r="D32" s="9">
        <v>9941179</v>
      </c>
      <c r="E32" s="27">
        <f t="shared" si="1"/>
        <v>13629.67741647971</v>
      </c>
      <c r="F32" s="39">
        <v>22341120</v>
      </c>
      <c r="G32" s="43">
        <f t="shared" si="3"/>
        <v>1.8855055471155517</v>
      </c>
      <c r="H32" s="10">
        <f t="shared" si="2"/>
        <v>11689.605336401946</v>
      </c>
      <c r="M32"/>
      <c r="N32"/>
      <c r="O32"/>
      <c r="P32"/>
      <c r="Q32"/>
      <c r="R32"/>
    </row>
    <row r="33" spans="1:18" ht="13.35" customHeight="1" x14ac:dyDescent="0.3">
      <c r="A33" s="7">
        <v>91</v>
      </c>
      <c r="B33" s="8">
        <f t="shared" si="0"/>
        <v>2002</v>
      </c>
      <c r="C33" s="8">
        <v>31</v>
      </c>
      <c r="D33" s="9">
        <v>10486321</v>
      </c>
      <c r="E33" s="27">
        <f t="shared" si="1"/>
        <v>14298.967864650398</v>
      </c>
      <c r="F33" s="39">
        <v>22463172</v>
      </c>
      <c r="G33" s="43">
        <f t="shared" si="3"/>
        <v>1.9334433262204629</v>
      </c>
      <c r="H33" s="10">
        <f t="shared" si="2"/>
        <v>12384.328965258825</v>
      </c>
      <c r="M33"/>
      <c r="N33"/>
      <c r="O33"/>
      <c r="P33"/>
      <c r="Q33"/>
      <c r="R33"/>
    </row>
    <row r="34" spans="1:18" ht="13.35" customHeight="1" x14ac:dyDescent="0.3">
      <c r="A34" s="7">
        <v>92</v>
      </c>
      <c r="B34" s="8">
        <f t="shared" ref="B34:B55" si="4">$C$58+A34</f>
        <v>2003</v>
      </c>
      <c r="C34" s="8">
        <v>32</v>
      </c>
      <c r="D34" s="9">
        <v>10929320</v>
      </c>
      <c r="E34" s="27">
        <f t="shared" ref="E34:E55" si="5">(D34*$C$61*$C$60)/$C$59/F34</f>
        <v>14837.318173645464</v>
      </c>
      <c r="F34" s="39">
        <v>22562663</v>
      </c>
      <c r="G34" s="43">
        <f t="shared" si="3"/>
        <v>1.9704014742031757</v>
      </c>
      <c r="H34" s="10">
        <f t="shared" si="2"/>
        <v>13120.340636492045</v>
      </c>
      <c r="M34"/>
      <c r="N34"/>
      <c r="O34"/>
      <c r="P34"/>
      <c r="Q34"/>
      <c r="R34"/>
    </row>
    <row r="35" spans="1:18" ht="13.35" customHeight="1" x14ac:dyDescent="0.3">
      <c r="A35" s="7">
        <v>93</v>
      </c>
      <c r="B35" s="8">
        <f t="shared" si="4"/>
        <v>2004</v>
      </c>
      <c r="C35" s="8">
        <v>33</v>
      </c>
      <c r="D35" s="9">
        <v>11689118</v>
      </c>
      <c r="E35" s="27">
        <f t="shared" si="5"/>
        <v>15809.816616431999</v>
      </c>
      <c r="F35" s="39">
        <v>22646836</v>
      </c>
      <c r="G35" s="43">
        <f t="shared" si="3"/>
        <v>2.0338870207971298</v>
      </c>
      <c r="H35" s="10">
        <f t="shared" si="2"/>
        <v>13900.094135135632</v>
      </c>
      <c r="M35"/>
      <c r="N35"/>
      <c r="O35"/>
      <c r="P35"/>
      <c r="Q35"/>
      <c r="R35"/>
    </row>
    <row r="36" spans="1:18" s="59" customFormat="1" ht="13.35" customHeight="1" x14ac:dyDescent="0.3">
      <c r="A36" s="52">
        <v>94</v>
      </c>
      <c r="B36" s="53">
        <f t="shared" si="4"/>
        <v>2005</v>
      </c>
      <c r="C36" s="53">
        <v>34</v>
      </c>
      <c r="D36" s="54">
        <v>12318369</v>
      </c>
      <c r="E36" s="55">
        <f t="shared" si="5"/>
        <v>16600.115804208392</v>
      </c>
      <c r="F36" s="56">
        <v>22729753</v>
      </c>
      <c r="G36" s="57">
        <f t="shared" si="3"/>
        <v>2.082665640351979</v>
      </c>
      <c r="H36" s="58">
        <f t="shared" si="2"/>
        <v>14726.189076847835</v>
      </c>
      <c r="M36" s="60"/>
      <c r="N36" s="60"/>
      <c r="O36" s="60"/>
      <c r="P36" s="60"/>
      <c r="Q36" s="60"/>
      <c r="R36" s="60"/>
    </row>
    <row r="37" spans="1:18" ht="13.35" customHeight="1" x14ac:dyDescent="0.3">
      <c r="A37" s="7">
        <v>95</v>
      </c>
      <c r="B37" s="8">
        <f t="shared" si="4"/>
        <v>2006</v>
      </c>
      <c r="C37" s="8">
        <v>35</v>
      </c>
      <c r="D37" s="9">
        <v>13029192</v>
      </c>
      <c r="E37" s="27">
        <f t="shared" si="5"/>
        <v>17485.929393164854</v>
      </c>
      <c r="F37" s="39">
        <v>22823455</v>
      </c>
      <c r="G37" s="43">
        <f t="shared" si="3"/>
        <v>2.1346524917006104</v>
      </c>
      <c r="H37" s="10">
        <f t="shared" si="2"/>
        <v>15601.379574754692</v>
      </c>
      <c r="M37"/>
      <c r="N37"/>
      <c r="O37"/>
      <c r="P37"/>
      <c r="Q37"/>
      <c r="R37"/>
    </row>
    <row r="38" spans="1:18" ht="13.35" customHeight="1" x14ac:dyDescent="0.3">
      <c r="A38" s="7">
        <v>96</v>
      </c>
      <c r="B38" s="8">
        <f t="shared" si="4"/>
        <v>2007</v>
      </c>
      <c r="C38" s="8">
        <v>36</v>
      </c>
      <c r="D38" s="9">
        <v>13921703</v>
      </c>
      <c r="E38" s="27">
        <f t="shared" si="5"/>
        <v>18607.105086960299</v>
      </c>
      <c r="F38" s="39">
        <v>22917444</v>
      </c>
      <c r="G38" s="43">
        <f t="shared" si="3"/>
        <v>2.1967994705573313</v>
      </c>
      <c r="H38" s="10">
        <f t="shared" si="2"/>
        <v>16528.583421371754</v>
      </c>
      <c r="J38" t="s">
        <v>22</v>
      </c>
      <c r="K38"/>
      <c r="L38"/>
      <c r="M38"/>
      <c r="N38"/>
      <c r="O38"/>
      <c r="P38"/>
      <c r="Q38"/>
      <c r="R38"/>
    </row>
    <row r="39" spans="1:18" ht="13.35" customHeight="1" thickBot="1" x14ac:dyDescent="0.35">
      <c r="A39" s="7">
        <v>97</v>
      </c>
      <c r="B39" s="8">
        <f t="shared" si="4"/>
        <v>2008</v>
      </c>
      <c r="C39" s="8">
        <v>37</v>
      </c>
      <c r="D39" s="9">
        <v>14032900</v>
      </c>
      <c r="E39" s="27">
        <f t="shared" si="5"/>
        <v>18690.276499000625</v>
      </c>
      <c r="F39" s="39">
        <v>22997696</v>
      </c>
      <c r="G39" s="43">
        <f t="shared" si="3"/>
        <v>2.2012593841687442</v>
      </c>
      <c r="H39" s="10">
        <f t="shared" si="2"/>
        <v>17510.89181621559</v>
      </c>
      <c r="J39"/>
      <c r="K39"/>
      <c r="L39"/>
      <c r="M39"/>
      <c r="N39"/>
      <c r="O39"/>
      <c r="P39"/>
      <c r="Q39"/>
      <c r="R39"/>
    </row>
    <row r="40" spans="1:18" ht="13.35" customHeight="1" x14ac:dyDescent="0.3">
      <c r="A40" s="7">
        <v>98</v>
      </c>
      <c r="B40" s="8">
        <f t="shared" si="4"/>
        <v>2009</v>
      </c>
      <c r="C40" s="8">
        <v>38</v>
      </c>
      <c r="D40" s="9">
        <v>13806459</v>
      </c>
      <c r="E40" s="27">
        <f t="shared" si="5"/>
        <v>18324.376157791125</v>
      </c>
      <c r="F40" s="39">
        <v>23078402</v>
      </c>
      <c r="G40" s="43">
        <f t="shared" si="3"/>
        <v>2.1814881728188702</v>
      </c>
      <c r="H40" s="10">
        <f t="shared" si="2"/>
        <v>18551.579671535947</v>
      </c>
      <c r="J40" s="47" t="s">
        <v>23</v>
      </c>
      <c r="K40" s="47"/>
      <c r="L40"/>
      <c r="M40"/>
      <c r="N40"/>
      <c r="O40"/>
      <c r="P40"/>
      <c r="Q40"/>
      <c r="R40"/>
    </row>
    <row r="41" spans="1:18" ht="13.35" customHeight="1" x14ac:dyDescent="0.3">
      <c r="A41" s="7">
        <v>99</v>
      </c>
      <c r="B41" s="8">
        <f t="shared" si="4"/>
        <v>2010</v>
      </c>
      <c r="C41" s="8">
        <v>39</v>
      </c>
      <c r="D41" s="9">
        <v>15220971</v>
      </c>
      <c r="E41" s="27">
        <f t="shared" si="5"/>
        <v>20147.160064102143</v>
      </c>
      <c r="F41" s="39">
        <v>23140948</v>
      </c>
      <c r="G41" s="43">
        <f t="shared" si="3"/>
        <v>2.2763193075696435</v>
      </c>
      <c r="H41" s="10">
        <f t="shared" si="2"/>
        <v>19654.116530526604</v>
      </c>
      <c r="J41" t="s">
        <v>24</v>
      </c>
      <c r="K41">
        <v>0.9940517106537371</v>
      </c>
      <c r="L41"/>
      <c r="M41"/>
      <c r="N41"/>
      <c r="O41"/>
      <c r="P41"/>
      <c r="Q41"/>
      <c r="R41"/>
    </row>
    <row r="42" spans="1:18" ht="13.35" customHeight="1" x14ac:dyDescent="0.3">
      <c r="A42" s="7">
        <v>100</v>
      </c>
      <c r="B42" s="8">
        <f t="shared" si="4"/>
        <v>2011</v>
      </c>
      <c r="C42" s="8">
        <v>40</v>
      </c>
      <c r="D42" s="9">
        <v>15780050</v>
      </c>
      <c r="E42" s="27">
        <f t="shared" si="5"/>
        <v>20839.839608477254</v>
      </c>
      <c r="F42" s="39">
        <v>23193518</v>
      </c>
      <c r="G42" s="43">
        <f t="shared" si="3"/>
        <v>2.3101224893819658</v>
      </c>
      <c r="H42" s="10">
        <f t="shared" si="2"/>
        <v>20822.178134415295</v>
      </c>
      <c r="J42" t="s">
        <v>25</v>
      </c>
      <c r="K42">
        <v>0.98813880345362115</v>
      </c>
      <c r="L42"/>
      <c r="M42"/>
      <c r="N42"/>
      <c r="O42"/>
      <c r="P42"/>
      <c r="Q42"/>
      <c r="R42"/>
    </row>
    <row r="43" spans="1:18" ht="13.35" customHeight="1" x14ac:dyDescent="0.3">
      <c r="A43" s="7">
        <v>101</v>
      </c>
      <c r="B43" s="8">
        <f t="shared" si="4"/>
        <v>2012</v>
      </c>
      <c r="C43" s="8">
        <v>41</v>
      </c>
      <c r="D43" s="9">
        <v>16130510</v>
      </c>
      <c r="E43" s="27">
        <f t="shared" si="5"/>
        <v>21232.321947670272</v>
      </c>
      <c r="F43" s="39">
        <v>23270367</v>
      </c>
      <c r="G43" s="43">
        <f t="shared" si="3"/>
        <v>2.3287806096543999</v>
      </c>
      <c r="H43" s="10">
        <f t="shared" si="2"/>
        <v>22059.658676996023</v>
      </c>
      <c r="J43" t="s">
        <v>26</v>
      </c>
      <c r="K43">
        <v>0.96890803422285188</v>
      </c>
      <c r="L43"/>
      <c r="M43"/>
      <c r="N43"/>
      <c r="O43"/>
      <c r="P43"/>
      <c r="Q43"/>
      <c r="R43"/>
    </row>
    <row r="44" spans="1:18" ht="13.35" customHeight="1" x14ac:dyDescent="0.3">
      <c r="A44" s="7">
        <v>102</v>
      </c>
      <c r="B44" s="8">
        <f t="shared" si="4"/>
        <v>2013</v>
      </c>
      <c r="C44" s="8">
        <v>42</v>
      </c>
      <c r="D44" s="9">
        <v>16531048</v>
      </c>
      <c r="E44" s="27">
        <f t="shared" si="5"/>
        <v>21690.285701619163</v>
      </c>
      <c r="F44" s="39">
        <v>23344670</v>
      </c>
      <c r="G44" s="43">
        <f t="shared" si="3"/>
        <v>2.3501204656520147</v>
      </c>
      <c r="H44" s="10">
        <f t="shared" si="2"/>
        <v>23370.683787459158</v>
      </c>
      <c r="J44" t="s">
        <v>27</v>
      </c>
      <c r="K44">
        <v>0.19816195418749302</v>
      </c>
      <c r="L44"/>
      <c r="M44"/>
      <c r="N44"/>
      <c r="O44"/>
      <c r="P44"/>
      <c r="Q44"/>
      <c r="R44"/>
    </row>
    <row r="45" spans="1:18" ht="13.35" customHeight="1" thickBot="1" x14ac:dyDescent="0.35">
      <c r="A45" s="7">
        <v>103</v>
      </c>
      <c r="B45" s="8">
        <f t="shared" si="4"/>
        <v>2014</v>
      </c>
      <c r="C45" s="8">
        <v>43</v>
      </c>
      <c r="D45" s="9">
        <v>17311105</v>
      </c>
      <c r="E45" s="27">
        <f t="shared" si="5"/>
        <v>22656.566702057029</v>
      </c>
      <c r="F45" s="39">
        <v>23403635</v>
      </c>
      <c r="G45" s="43">
        <f t="shared" si="3"/>
        <v>2.3937056993874832</v>
      </c>
      <c r="H45" s="10">
        <f t="shared" si="2"/>
        <v>24759.624284802572</v>
      </c>
      <c r="J45" s="45" t="s">
        <v>28</v>
      </c>
      <c r="K45" s="45">
        <v>53</v>
      </c>
      <c r="L45"/>
      <c r="M45"/>
      <c r="N45"/>
      <c r="O45"/>
      <c r="P45"/>
      <c r="Q45"/>
      <c r="R45"/>
    </row>
    <row r="46" spans="1:18" ht="13.35" customHeight="1" x14ac:dyDescent="0.3">
      <c r="A46" s="7">
        <v>104</v>
      </c>
      <c r="B46" s="8">
        <f t="shared" si="4"/>
        <v>2015</v>
      </c>
      <c r="C46" s="8">
        <v>44</v>
      </c>
      <c r="D46" s="9">
        <v>17564746</v>
      </c>
      <c r="E46" s="27">
        <f t="shared" si="5"/>
        <v>22930.448534902185</v>
      </c>
      <c r="F46" s="39">
        <v>23462914</v>
      </c>
      <c r="G46" s="43">
        <f t="shared" si="3"/>
        <v>2.4057216265863013</v>
      </c>
      <c r="H46" s="10">
        <f t="shared" si="2"/>
        <v>26231.110749679709</v>
      </c>
      <c r="J46"/>
      <c r="K46"/>
      <c r="L46"/>
      <c r="M46"/>
      <c r="N46"/>
      <c r="O46"/>
      <c r="P46"/>
      <c r="Q46"/>
      <c r="R46"/>
    </row>
    <row r="47" spans="1:18" ht="13.35" customHeight="1" thickBot="1" x14ac:dyDescent="0.35">
      <c r="A47" s="7">
        <v>105</v>
      </c>
      <c r="B47" s="8">
        <f t="shared" si="4"/>
        <v>2016</v>
      </c>
      <c r="C47" s="8">
        <v>45</v>
      </c>
      <c r="D47" s="9">
        <v>17945024</v>
      </c>
      <c r="E47" s="27">
        <f t="shared" si="5"/>
        <v>23374.064195149658</v>
      </c>
      <c r="F47" s="39">
        <v>23515945</v>
      </c>
      <c r="G47" s="43">
        <f t="shared" si="3"/>
        <v>2.4248830087979343</v>
      </c>
      <c r="H47" s="10">
        <f t="shared" si="2"/>
        <v>27790.048962265526</v>
      </c>
      <c r="J47" t="s">
        <v>29</v>
      </c>
      <c r="K47"/>
      <c r="L47"/>
      <c r="M47"/>
      <c r="N47"/>
      <c r="O47"/>
      <c r="P47"/>
      <c r="Q47"/>
      <c r="R47"/>
    </row>
    <row r="48" spans="1:18" ht="13.35" customHeight="1" x14ac:dyDescent="0.3">
      <c r="A48" s="7">
        <v>106</v>
      </c>
      <c r="B48" s="8">
        <f t="shared" si="4"/>
        <v>2017</v>
      </c>
      <c r="C48" s="8">
        <v>46</v>
      </c>
      <c r="D48" s="9">
        <v>18602118</v>
      </c>
      <c r="E48" s="27">
        <f t="shared" si="5"/>
        <v>24189.243527694911</v>
      </c>
      <c r="F48" s="39">
        <v>23555522</v>
      </c>
      <c r="G48" s="43">
        <f t="shared" si="3"/>
        <v>2.4591640208811167</v>
      </c>
      <c r="H48" s="10">
        <f t="shared" si="2"/>
        <v>29441.636257608548</v>
      </c>
      <c r="J48" s="46"/>
      <c r="K48" s="46" t="s">
        <v>34</v>
      </c>
      <c r="L48" s="46" t="s">
        <v>35</v>
      </c>
      <c r="M48" s="46" t="s">
        <v>36</v>
      </c>
      <c r="N48" s="46" t="s">
        <v>37</v>
      </c>
      <c r="O48" s="46" t="s">
        <v>38</v>
      </c>
      <c r="P48"/>
      <c r="Q48"/>
      <c r="R48"/>
    </row>
    <row r="49" spans="1:18" ht="13.35" customHeight="1" x14ac:dyDescent="0.3">
      <c r="A49" s="7">
        <v>107</v>
      </c>
      <c r="B49" s="8">
        <f t="shared" si="4"/>
        <v>2018</v>
      </c>
      <c r="C49" s="8">
        <v>47</v>
      </c>
      <c r="D49" s="9">
        <v>19142600</v>
      </c>
      <c r="E49" s="27">
        <f t="shared" si="5"/>
        <v>24866.134308006269</v>
      </c>
      <c r="F49" s="39">
        <v>23580080</v>
      </c>
      <c r="G49" s="43">
        <f t="shared" si="3"/>
        <v>2.4867627786439055</v>
      </c>
      <c r="H49" s="10">
        <f t="shared" si="2"/>
        <v>31191.378852995931</v>
      </c>
      <c r="J49" t="s">
        <v>30</v>
      </c>
      <c r="K49">
        <v>1</v>
      </c>
      <c r="L49">
        <v>170.11137229581828</v>
      </c>
      <c r="M49">
        <v>170.11137229581828</v>
      </c>
      <c r="N49">
        <v>4332.0433633042994</v>
      </c>
      <c r="O49">
        <v>5.3238855099818099E-51</v>
      </c>
      <c r="P49"/>
      <c r="Q49"/>
      <c r="R49"/>
    </row>
    <row r="50" spans="1:18" ht="13.35" customHeight="1" x14ac:dyDescent="0.3">
      <c r="A50" s="7">
        <v>108</v>
      </c>
      <c r="B50" s="8">
        <f t="shared" si="4"/>
        <v>2019</v>
      </c>
      <c r="C50" s="8">
        <v>48</v>
      </c>
      <c r="D50" s="9">
        <v>19727465</v>
      </c>
      <c r="E50" s="27">
        <f t="shared" si="5"/>
        <v>25608.551955549003</v>
      </c>
      <c r="F50" s="39">
        <v>23596027</v>
      </c>
      <c r="G50" s="43">
        <f t="shared" si="3"/>
        <v>2.5161823253199591</v>
      </c>
      <c r="H50" s="10">
        <f t="shared" si="2"/>
        <v>33045.110205099299</v>
      </c>
      <c r="J50" t="s">
        <v>31</v>
      </c>
      <c r="K50">
        <v>52</v>
      </c>
      <c r="L50">
        <v>2.0419443245451161</v>
      </c>
      <c r="M50">
        <v>3.9268160087406079E-2</v>
      </c>
      <c r="N50"/>
      <c r="O50"/>
      <c r="P50"/>
      <c r="Q50"/>
      <c r="R50"/>
    </row>
    <row r="51" spans="1:18" ht="13.35" customHeight="1" thickBot="1" x14ac:dyDescent="0.35">
      <c r="A51" s="7">
        <v>109</v>
      </c>
      <c r="B51" s="8">
        <f t="shared" si="4"/>
        <v>2020</v>
      </c>
      <c r="C51" s="8">
        <v>49</v>
      </c>
      <c r="D51" s="9">
        <v>20402197</v>
      </c>
      <c r="E51" s="27">
        <f t="shared" si="5"/>
        <v>26499.985109749879</v>
      </c>
      <c r="F51" s="39">
        <v>23582179</v>
      </c>
      <c r="G51" s="43">
        <f t="shared" si="3"/>
        <v>2.5504001399524707</v>
      </c>
      <c r="H51" s="10">
        <f t="shared" si="2"/>
        <v>35009.01045810205</v>
      </c>
      <c r="J51" s="45" t="s">
        <v>32</v>
      </c>
      <c r="K51" s="45">
        <v>53</v>
      </c>
      <c r="L51" s="45">
        <v>172.1533166203634</v>
      </c>
      <c r="M51" s="45"/>
      <c r="N51" s="45"/>
      <c r="O51" s="45"/>
      <c r="P51"/>
      <c r="Q51"/>
      <c r="R51"/>
    </row>
    <row r="52" spans="1:18" ht="13.35" customHeight="1" thickBot="1" x14ac:dyDescent="0.35">
      <c r="A52" s="7">
        <v>110</v>
      </c>
      <c r="B52" s="8">
        <f t="shared" si="4"/>
        <v>2021</v>
      </c>
      <c r="C52" s="8">
        <v>50</v>
      </c>
      <c r="D52" s="9">
        <v>21773291</v>
      </c>
      <c r="E52" s="27">
        <f t="shared" si="5"/>
        <v>28418.132385268702</v>
      </c>
      <c r="F52" s="39">
        <v>23468275</v>
      </c>
      <c r="G52" s="43">
        <f t="shared" si="3"/>
        <v>2.620283374562268</v>
      </c>
      <c r="H52" s="10">
        <f t="shared" si="2"/>
        <v>37089.627047646136</v>
      </c>
      <c r="J52"/>
      <c r="K52"/>
      <c r="L52"/>
      <c r="M52"/>
      <c r="N52"/>
      <c r="O52"/>
      <c r="P52"/>
      <c r="Q52"/>
      <c r="R52"/>
    </row>
    <row r="53" spans="1:18" ht="13.35" customHeight="1" x14ac:dyDescent="0.3">
      <c r="A53" s="7">
        <v>111</v>
      </c>
      <c r="B53" s="8">
        <f t="shared" si="4"/>
        <v>2022</v>
      </c>
      <c r="C53" s="8">
        <v>51</v>
      </c>
      <c r="D53" s="9">
        <v>22357584</v>
      </c>
      <c r="E53" s="27">
        <f t="shared" si="5"/>
        <v>29366.309937499183</v>
      </c>
      <c r="F53" s="39">
        <v>23319977</v>
      </c>
      <c r="G53" s="43">
        <f t="shared" si="3"/>
        <v>2.6531040656391913</v>
      </c>
      <c r="H53" s="10">
        <f t="shared" si="2"/>
        <v>39293.896529289741</v>
      </c>
      <c r="J53" s="46"/>
      <c r="K53" s="46" t="s">
        <v>39</v>
      </c>
      <c r="L53" s="46" t="s">
        <v>27</v>
      </c>
      <c r="M53" s="46" t="s">
        <v>40</v>
      </c>
      <c r="N53" s="46" t="s">
        <v>41</v>
      </c>
      <c r="O53" s="46" t="s">
        <v>42</v>
      </c>
      <c r="P53" s="46" t="s">
        <v>43</v>
      </c>
      <c r="Q53" s="46" t="s">
        <v>44</v>
      </c>
      <c r="R53" s="46" t="s">
        <v>45</v>
      </c>
    </row>
    <row r="54" spans="1:18" ht="13.35" customHeight="1" x14ac:dyDescent="0.3">
      <c r="A54" s="7">
        <v>112</v>
      </c>
      <c r="B54" s="8">
        <f t="shared" si="4"/>
        <v>2023</v>
      </c>
      <c r="C54" s="8">
        <v>52</v>
      </c>
      <c r="D54" s="9">
        <v>22600156</v>
      </c>
      <c r="E54" s="27">
        <f t="shared" si="5"/>
        <v>29656.229326596149</v>
      </c>
      <c r="F54" s="39">
        <v>23342541</v>
      </c>
      <c r="G54" s="43">
        <f t="shared" si="3"/>
        <v>2.6629281675655627</v>
      </c>
      <c r="H54" s="10">
        <f t="shared" si="2"/>
        <v>41629.16770424947</v>
      </c>
      <c r="J54" t="s">
        <v>33</v>
      </c>
      <c r="K54">
        <v>0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</row>
    <row r="55" spans="1:18" ht="13.2" customHeight="1" thickBot="1" x14ac:dyDescent="0.35">
      <c r="A55" s="7">
        <v>113</v>
      </c>
      <c r="B55" s="8">
        <f t="shared" si="4"/>
        <v>2024</v>
      </c>
      <c r="C55" s="8">
        <v>53</v>
      </c>
      <c r="D55" s="9">
        <v>23790526</v>
      </c>
      <c r="E55" s="27">
        <f t="shared" si="5"/>
        <v>31127.84926258065</v>
      </c>
      <c r="F55" s="39">
        <v>23410331</v>
      </c>
      <c r="G55" s="43">
        <f t="shared" si="3"/>
        <v>2.7113588620246611</v>
      </c>
      <c r="H55" s="10">
        <f t="shared" si="2"/>
        <v>44103.226119526109</v>
      </c>
      <c r="J55" s="45" t="s">
        <v>46</v>
      </c>
      <c r="K55" s="45">
        <v>5.773186609946402E-2</v>
      </c>
      <c r="L55" s="45">
        <v>8.7714056869626553E-4</v>
      </c>
      <c r="M55" s="45">
        <v>65.818260105416798</v>
      </c>
      <c r="N55" s="45">
        <v>9.3688473659267302E-52</v>
      </c>
      <c r="O55" s="45">
        <v>5.5971754779699671E-2</v>
      </c>
      <c r="P55" s="45">
        <v>5.9491977419228369E-2</v>
      </c>
      <c r="Q55" s="45">
        <v>5.5971754779699671E-2</v>
      </c>
      <c r="R55" s="45">
        <v>5.9491977419228369E-2</v>
      </c>
    </row>
    <row r="56" spans="1:18" ht="12.75" customHeight="1" x14ac:dyDescent="0.3">
      <c r="K56"/>
      <c r="L56"/>
      <c r="M56"/>
      <c r="N56"/>
      <c r="O56"/>
      <c r="P56"/>
      <c r="Q56"/>
      <c r="R56"/>
    </row>
    <row r="57" spans="1:18" ht="20.399999999999999" customHeight="1" x14ac:dyDescent="0.3">
      <c r="M57"/>
      <c r="N57"/>
      <c r="O57"/>
      <c r="P57"/>
      <c r="Q57"/>
      <c r="R57"/>
    </row>
    <row r="58" spans="1:18" ht="20.399999999999999" customHeight="1" thickBot="1" x14ac:dyDescent="0.35">
      <c r="B58" s="61" t="s">
        <v>12</v>
      </c>
      <c r="C58" s="61">
        <v>1911</v>
      </c>
      <c r="G58" t="s">
        <v>50</v>
      </c>
      <c r="H58"/>
      <c r="I58"/>
      <c r="J58"/>
      <c r="K58"/>
      <c r="M58"/>
      <c r="N58"/>
      <c r="O58"/>
      <c r="P58"/>
      <c r="Q58"/>
      <c r="R58"/>
    </row>
    <row r="59" spans="1:18" ht="20.399999999999999" customHeight="1" x14ac:dyDescent="0.3">
      <c r="B59" s="61" t="s">
        <v>13</v>
      </c>
      <c r="C59" s="61">
        <v>31.7</v>
      </c>
      <c r="G59" s="46" t="s">
        <v>51</v>
      </c>
      <c r="H59" s="46" t="s">
        <v>54</v>
      </c>
      <c r="I59" s="64" t="s">
        <v>57</v>
      </c>
      <c r="J59"/>
      <c r="K59"/>
      <c r="M59"/>
      <c r="N59"/>
      <c r="O59"/>
      <c r="P59"/>
      <c r="Q59"/>
      <c r="R59"/>
    </row>
    <row r="60" spans="1:18" ht="20.399999999999999" customHeight="1" x14ac:dyDescent="0.3">
      <c r="B60" s="61" t="s">
        <v>14</v>
      </c>
      <c r="C60" s="39">
        <v>1000000</v>
      </c>
      <c r="G60">
        <v>1</v>
      </c>
      <c r="H60">
        <v>5.773186609946402E-2</v>
      </c>
      <c r="I60">
        <v>5.1812066167358596E-2</v>
      </c>
      <c r="J60"/>
      <c r="K60"/>
      <c r="M60"/>
      <c r="N60"/>
      <c r="O60"/>
      <c r="P60"/>
      <c r="Q60"/>
      <c r="R60"/>
    </row>
    <row r="61" spans="1:18" ht="12.75" customHeight="1" x14ac:dyDescent="0.3">
      <c r="B61" s="61" t="s">
        <v>9</v>
      </c>
      <c r="C61" s="61">
        <f>'[1]2015 base'!B4/'Taiwan_54years v.s Rezidu'!D46</f>
        <v>0.97098358268317686</v>
      </c>
      <c r="G61">
        <v>2</v>
      </c>
      <c r="H61">
        <v>0.11546373219892804</v>
      </c>
      <c r="I61">
        <v>9.6283401710835284E-2</v>
      </c>
      <c r="J61"/>
      <c r="K61"/>
      <c r="M61"/>
      <c r="N61"/>
      <c r="O61"/>
      <c r="P61"/>
      <c r="Q61"/>
      <c r="R61"/>
    </row>
    <row r="62" spans="1:18" ht="12.75" customHeight="1" x14ac:dyDescent="0.3">
      <c r="G62">
        <v>3</v>
      </c>
      <c r="H62">
        <v>0.17319559829839207</v>
      </c>
      <c r="I62">
        <v>4.6974662536553136E-2</v>
      </c>
      <c r="J62"/>
      <c r="K62"/>
      <c r="O62"/>
      <c r="P62"/>
      <c r="Q62"/>
      <c r="R62"/>
    </row>
    <row r="63" spans="1:18" ht="12.75" customHeight="1" x14ac:dyDescent="0.3">
      <c r="G63">
        <v>4</v>
      </c>
      <c r="H63">
        <v>0.23092746439785608</v>
      </c>
      <c r="I63">
        <v>3.1036357856535274E-2</v>
      </c>
      <c r="J63"/>
      <c r="K63"/>
      <c r="O63"/>
      <c r="P63"/>
      <c r="Q63"/>
      <c r="R63"/>
    </row>
    <row r="64" spans="1:18" ht="12.75" customHeight="1" x14ac:dyDescent="0.3">
      <c r="G64">
        <v>5</v>
      </c>
      <c r="H64">
        <v>0.28865933049732012</v>
      </c>
      <c r="I64">
        <v>8.6709458946348905E-2</v>
      </c>
      <c r="J64"/>
      <c r="K64"/>
      <c r="O64"/>
      <c r="P64"/>
      <c r="Q64"/>
      <c r="R64"/>
    </row>
    <row r="65" spans="7:18" ht="12.75" customHeight="1" x14ac:dyDescent="0.3">
      <c r="G65">
        <v>6</v>
      </c>
      <c r="H65">
        <v>0.34639119659678413</v>
      </c>
      <c r="I65">
        <v>0.11711639661004464</v>
      </c>
      <c r="J65"/>
      <c r="K65"/>
      <c r="O65"/>
      <c r="P65"/>
      <c r="Q65"/>
      <c r="R65"/>
    </row>
    <row r="66" spans="7:18" ht="12.75" customHeight="1" x14ac:dyDescent="0.3">
      <c r="G66">
        <v>7</v>
      </c>
      <c r="H66">
        <v>0.40412306269624815</v>
      </c>
      <c r="I66">
        <v>0.16807379934413719</v>
      </c>
      <c r="J66"/>
      <c r="K66"/>
      <c r="O66"/>
      <c r="P66"/>
      <c r="Q66"/>
      <c r="R66"/>
    </row>
    <row r="67" spans="7:18" ht="12.75" customHeight="1" x14ac:dyDescent="0.3">
      <c r="G67">
        <v>8</v>
      </c>
      <c r="H67">
        <v>0.46185492879571216</v>
      </c>
      <c r="I67">
        <v>0.17578933095227584</v>
      </c>
      <c r="J67"/>
      <c r="K67"/>
      <c r="O67"/>
      <c r="P67"/>
      <c r="Q67"/>
      <c r="R67"/>
    </row>
    <row r="68" spans="7:18" ht="12.75" customHeight="1" x14ac:dyDescent="0.3">
      <c r="G68">
        <v>9</v>
      </c>
      <c r="H68">
        <v>0.51958679489517623</v>
      </c>
      <c r="I68">
        <v>0.17646777897553168</v>
      </c>
      <c r="O68"/>
      <c r="P68"/>
      <c r="Q68"/>
      <c r="R68"/>
    </row>
    <row r="69" spans="7:18" ht="12.75" customHeight="1" x14ac:dyDescent="0.3">
      <c r="G69">
        <v>10</v>
      </c>
      <c r="H69">
        <v>0.57731866099464024</v>
      </c>
      <c r="I69">
        <v>0.16912082857355015</v>
      </c>
      <c r="O69"/>
      <c r="P69"/>
      <c r="Q69"/>
      <c r="R69"/>
    </row>
    <row r="70" spans="7:18" ht="12.75" customHeight="1" x14ac:dyDescent="0.3">
      <c r="G70">
        <v>11</v>
      </c>
      <c r="H70">
        <v>0.63505052709410426</v>
      </c>
      <c r="I70">
        <v>0.14051840552064743</v>
      </c>
      <c r="O70"/>
      <c r="P70"/>
      <c r="Q70"/>
      <c r="R70"/>
    </row>
    <row r="71" spans="7:18" ht="12.75" customHeight="1" x14ac:dyDescent="0.3">
      <c r="G71">
        <v>12</v>
      </c>
      <c r="H71">
        <v>0.69278239319356827</v>
      </c>
      <c r="I71">
        <v>0.15306368548741267</v>
      </c>
      <c r="O71"/>
      <c r="P71"/>
      <c r="Q71"/>
      <c r="R71"/>
    </row>
    <row r="72" spans="7:18" ht="12.75" customHeight="1" x14ac:dyDescent="0.3">
      <c r="G72">
        <v>13</v>
      </c>
      <c r="H72">
        <v>0.75051425929303228</v>
      </c>
      <c r="I72">
        <v>0.17636840382828878</v>
      </c>
    </row>
    <row r="73" spans="7:18" ht="12.75" customHeight="1" x14ac:dyDescent="0.3">
      <c r="G73">
        <v>14</v>
      </c>
      <c r="H73">
        <v>0.8082461253924963</v>
      </c>
      <c r="I73">
        <v>0.15187091029964306</v>
      </c>
    </row>
    <row r="74" spans="7:18" ht="12.75" customHeight="1" x14ac:dyDescent="0.3">
      <c r="G74">
        <v>15</v>
      </c>
      <c r="H74">
        <v>0.86597799149196031</v>
      </c>
      <c r="I74">
        <v>0.19171256669105574</v>
      </c>
    </row>
    <row r="75" spans="7:18" ht="12.75" customHeight="1" x14ac:dyDescent="0.3">
      <c r="G75">
        <v>16</v>
      </c>
      <c r="H75">
        <v>0.92370985759142432</v>
      </c>
      <c r="I75">
        <v>0.24346022727694383</v>
      </c>
    </row>
    <row r="76" spans="7:18" ht="12.75" customHeight="1" x14ac:dyDescent="0.3">
      <c r="G76">
        <v>17</v>
      </c>
      <c r="H76">
        <v>0.98144172369088833</v>
      </c>
      <c r="I76">
        <v>0.2516278770806295</v>
      </c>
    </row>
    <row r="77" spans="7:18" ht="12.75" customHeight="1" x14ac:dyDescent="0.3">
      <c r="G77">
        <v>18</v>
      </c>
      <c r="H77">
        <v>1.0391735897903525</v>
      </c>
      <c r="I77">
        <v>0.26670509314866475</v>
      </c>
    </row>
    <row r="78" spans="7:18" ht="12.75" customHeight="1" x14ac:dyDescent="0.3">
      <c r="G78">
        <v>19</v>
      </c>
      <c r="H78">
        <v>1.0969054558898164</v>
      </c>
      <c r="I78">
        <v>0.25182568784554116</v>
      </c>
    </row>
    <row r="79" spans="7:18" ht="12.75" customHeight="1" x14ac:dyDescent="0.3">
      <c r="G79">
        <v>20</v>
      </c>
      <c r="H79">
        <v>1.1546373219892805</v>
      </c>
      <c r="I79">
        <v>0.26347761389212754</v>
      </c>
    </row>
    <row r="80" spans="7:18" ht="12.75" customHeight="1" x14ac:dyDescent="0.3">
      <c r="G80">
        <v>21</v>
      </c>
      <c r="H80">
        <v>1.2123691880887444</v>
      </c>
      <c r="I80">
        <v>0.2758407726972969</v>
      </c>
    </row>
    <row r="81" spans="7:9" ht="12.75" customHeight="1" x14ac:dyDescent="0.3">
      <c r="G81">
        <v>22</v>
      </c>
      <c r="H81">
        <v>1.2701010541882085</v>
      </c>
      <c r="I81">
        <v>0.27466971884605584</v>
      </c>
    </row>
    <row r="82" spans="7:9" ht="12.75" customHeight="1" x14ac:dyDescent="0.3">
      <c r="G82">
        <v>23</v>
      </c>
      <c r="H82">
        <v>1.3278329202876724</v>
      </c>
      <c r="I82">
        <v>0.28035885777768899</v>
      </c>
    </row>
    <row r="83" spans="7:9" ht="12.75" customHeight="1" x14ac:dyDescent="0.3">
      <c r="G83">
        <v>24</v>
      </c>
      <c r="H83">
        <v>1.3855647863871365</v>
      </c>
      <c r="I83">
        <v>0.27704474041190763</v>
      </c>
    </row>
    <row r="84" spans="7:9" ht="12.75" customHeight="1" x14ac:dyDescent="0.3">
      <c r="G84">
        <v>25</v>
      </c>
      <c r="H84">
        <v>1.4432966524866004</v>
      </c>
      <c r="I84">
        <v>0.27110851598399788</v>
      </c>
    </row>
    <row r="85" spans="7:9" ht="12.75" customHeight="1" x14ac:dyDescent="0.3">
      <c r="G85">
        <v>26</v>
      </c>
      <c r="H85">
        <v>1.5010285185860646</v>
      </c>
      <c r="I85">
        <v>0.2631838185283506</v>
      </c>
    </row>
    <row r="86" spans="7:9" ht="12.75" customHeight="1" x14ac:dyDescent="0.3">
      <c r="G86">
        <v>27</v>
      </c>
      <c r="H86">
        <v>1.5587603846855285</v>
      </c>
      <c r="I86">
        <v>0.23736551703268249</v>
      </c>
    </row>
    <row r="87" spans="7:9" ht="12.75" customHeight="1" x14ac:dyDescent="0.3">
      <c r="G87">
        <v>28</v>
      </c>
      <c r="H87">
        <v>1.6164922507849926</v>
      </c>
      <c r="I87">
        <v>0.23681159893668435</v>
      </c>
    </row>
    <row r="88" spans="7:9" ht="12.75" customHeight="1" x14ac:dyDescent="0.3">
      <c r="G88">
        <v>29</v>
      </c>
      <c r="H88">
        <v>1.6742241168844565</v>
      </c>
      <c r="I88">
        <v>0.23243296223979493</v>
      </c>
    </row>
    <row r="89" spans="7:9" ht="12.75" customHeight="1" x14ac:dyDescent="0.3">
      <c r="G89">
        <v>30</v>
      </c>
      <c r="H89">
        <v>1.7319559829839206</v>
      </c>
      <c r="I89">
        <v>0.15354956413163112</v>
      </c>
    </row>
    <row r="90" spans="7:9" ht="12.75" customHeight="1" x14ac:dyDescent="0.3">
      <c r="G90">
        <v>31</v>
      </c>
      <c r="H90">
        <v>1.7896878490833845</v>
      </c>
      <c r="I90">
        <v>0.14375547713707837</v>
      </c>
    </row>
    <row r="91" spans="7:9" ht="12.75" customHeight="1" x14ac:dyDescent="0.3">
      <c r="G91">
        <v>32</v>
      </c>
      <c r="H91">
        <v>1.8474197151828486</v>
      </c>
      <c r="I91">
        <v>0.12298175902032704</v>
      </c>
    </row>
    <row r="92" spans="7:9" ht="12.75" customHeight="1" x14ac:dyDescent="0.3">
      <c r="G92">
        <v>33</v>
      </c>
      <c r="H92">
        <v>1.9051515812823128</v>
      </c>
      <c r="I92">
        <v>0.12873543951481703</v>
      </c>
    </row>
    <row r="93" spans="7:9" ht="12.75" customHeight="1" x14ac:dyDescent="0.3">
      <c r="G93">
        <v>34</v>
      </c>
      <c r="H93">
        <v>1.9628834473817767</v>
      </c>
      <c r="I93">
        <v>0.11978219297020232</v>
      </c>
    </row>
    <row r="94" spans="7:9" ht="12.75" customHeight="1" x14ac:dyDescent="0.3">
      <c r="G94">
        <v>35</v>
      </c>
      <c r="H94">
        <v>2.0206153134812408</v>
      </c>
      <c r="I94">
        <v>0.11403717821936965</v>
      </c>
    </row>
    <row r="95" spans="7:9" ht="12.75" customHeight="1" x14ac:dyDescent="0.3">
      <c r="G95">
        <v>36</v>
      </c>
      <c r="H95">
        <v>2.0783471795807049</v>
      </c>
      <c r="I95">
        <v>0.11845229097662635</v>
      </c>
    </row>
    <row r="96" spans="7:9" ht="12.75" customHeight="1" x14ac:dyDescent="0.3">
      <c r="G96">
        <v>37</v>
      </c>
      <c r="H96">
        <v>2.1360790456801686</v>
      </c>
      <c r="I96">
        <v>6.5180338488575629E-2</v>
      </c>
    </row>
    <row r="97" spans="7:9" ht="12.75" customHeight="1" x14ac:dyDescent="0.3">
      <c r="G97">
        <v>38</v>
      </c>
      <c r="H97">
        <v>2.1938109117796327</v>
      </c>
      <c r="I97">
        <v>-1.2322738960762525E-2</v>
      </c>
    </row>
    <row r="98" spans="7:9" ht="12.75" customHeight="1" x14ac:dyDescent="0.3">
      <c r="G98">
        <v>39</v>
      </c>
      <c r="H98">
        <v>2.2515427778790968</v>
      </c>
      <c r="I98">
        <v>2.4776529690546667E-2</v>
      </c>
    </row>
    <row r="99" spans="7:9" ht="12.75" customHeight="1" x14ac:dyDescent="0.3">
      <c r="G99">
        <v>40</v>
      </c>
      <c r="H99">
        <v>2.309274643978561</v>
      </c>
      <c r="I99">
        <v>8.4784540340487879E-4</v>
      </c>
    </row>
    <row r="100" spans="7:9" ht="12.75" customHeight="1" x14ac:dyDescent="0.3">
      <c r="G100">
        <v>41</v>
      </c>
      <c r="H100">
        <v>2.3670065100780247</v>
      </c>
      <c r="I100">
        <v>-3.8225900423624726E-2</v>
      </c>
    </row>
    <row r="101" spans="7:9" ht="12.75" customHeight="1" x14ac:dyDescent="0.3">
      <c r="G101">
        <v>42</v>
      </c>
      <c r="H101">
        <v>2.4247383761774888</v>
      </c>
      <c r="I101">
        <v>-7.4617910525474063E-2</v>
      </c>
    </row>
    <row r="102" spans="7:9" ht="12.75" customHeight="1" x14ac:dyDescent="0.3">
      <c r="G102">
        <v>43</v>
      </c>
      <c r="H102">
        <v>2.4824702422769529</v>
      </c>
      <c r="I102">
        <v>-8.8764542889469666E-2</v>
      </c>
    </row>
    <row r="103" spans="7:9" ht="12.75" customHeight="1" x14ac:dyDescent="0.3">
      <c r="G103">
        <v>44</v>
      </c>
      <c r="H103">
        <v>2.540202108376417</v>
      </c>
      <c r="I103">
        <v>-0.13448048179011574</v>
      </c>
    </row>
    <row r="104" spans="7:9" ht="12.75" customHeight="1" x14ac:dyDescent="0.3">
      <c r="G104">
        <v>45</v>
      </c>
      <c r="H104">
        <v>2.5979339744758807</v>
      </c>
      <c r="I104">
        <v>-0.17305096567794642</v>
      </c>
    </row>
    <row r="105" spans="7:9" ht="12.75" customHeight="1" x14ac:dyDescent="0.3">
      <c r="G105">
        <v>46</v>
      </c>
      <c r="H105">
        <v>2.6556658405753448</v>
      </c>
      <c r="I105">
        <v>-0.19650181969422809</v>
      </c>
    </row>
    <row r="106" spans="7:9" ht="12.75" customHeight="1" x14ac:dyDescent="0.3">
      <c r="G106">
        <v>47</v>
      </c>
      <c r="H106">
        <v>2.713397706674809</v>
      </c>
      <c r="I106">
        <v>-0.22663492803090346</v>
      </c>
    </row>
    <row r="107" spans="7:9" ht="12.75" customHeight="1" x14ac:dyDescent="0.3">
      <c r="G107">
        <v>48</v>
      </c>
      <c r="H107">
        <v>2.7711295727742731</v>
      </c>
      <c r="I107">
        <v>-0.25494724745431396</v>
      </c>
    </row>
    <row r="108" spans="7:9" ht="12.75" customHeight="1" x14ac:dyDescent="0.3">
      <c r="G108">
        <v>49</v>
      </c>
      <c r="H108">
        <v>2.8288614388737372</v>
      </c>
      <c r="I108">
        <v>-0.27846129892126648</v>
      </c>
    </row>
    <row r="109" spans="7:9" ht="12.75" customHeight="1" x14ac:dyDescent="0.3">
      <c r="G109">
        <v>50</v>
      </c>
      <c r="H109">
        <v>2.8865933049732009</v>
      </c>
      <c r="I109">
        <v>-0.26630993041093287</v>
      </c>
    </row>
    <row r="110" spans="7:9" ht="12.75" customHeight="1" x14ac:dyDescent="0.3">
      <c r="G110">
        <v>51</v>
      </c>
      <c r="H110">
        <v>2.944325171072665</v>
      </c>
      <c r="I110">
        <v>-0.29122110543347368</v>
      </c>
    </row>
    <row r="111" spans="7:9" ht="12.75" customHeight="1" x14ac:dyDescent="0.3">
      <c r="G111">
        <v>52</v>
      </c>
      <c r="H111">
        <v>3.0020570371721291</v>
      </c>
      <c r="I111">
        <v>-0.33912886960656641</v>
      </c>
    </row>
    <row r="112" spans="7:9" ht="12.75" customHeight="1" thickBot="1" x14ac:dyDescent="0.35">
      <c r="G112" s="45">
        <v>53</v>
      </c>
      <c r="H112" s="45">
        <v>3.0597889032715933</v>
      </c>
      <c r="I112" s="45">
        <v>-0.34843004124693211</v>
      </c>
    </row>
  </sheetData>
  <pageMargins left="0.1" right="0.1" top="0.1" bottom="0.1" header="0.5" footer="0.5"/>
  <pageSetup paperSize="9" scale="6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5891-E685-495C-9F0F-97F6D1901D90}">
  <dimension ref="A1:BF77"/>
  <sheetViews>
    <sheetView topLeftCell="A31" workbookViewId="0">
      <selection activeCell="S35" sqref="S35"/>
    </sheetView>
  </sheetViews>
  <sheetFormatPr defaultColWidth="15.19921875" defaultRowHeight="15.6" x14ac:dyDescent="0.3"/>
  <cols>
    <col min="1" max="1" width="7" customWidth="1"/>
    <col min="2" max="2" width="11.19921875" style="1" customWidth="1"/>
    <col min="7" max="7" width="19.8984375" customWidth="1"/>
    <col min="8" max="8" width="17.296875" customWidth="1"/>
    <col min="10" max="10" width="12.3984375" customWidth="1"/>
    <col min="11" max="11" width="6" customWidth="1"/>
    <col min="12" max="15" width="13.59765625" customWidth="1"/>
  </cols>
  <sheetData>
    <row r="1" spans="1:58" s="2" customFormat="1" x14ac:dyDescent="0.3">
      <c r="A1" s="24"/>
      <c r="B1" s="25"/>
      <c r="C1" s="28" t="s">
        <v>4</v>
      </c>
      <c r="D1" s="28" t="s">
        <v>5</v>
      </c>
      <c r="E1" s="28" t="s">
        <v>7</v>
      </c>
      <c r="F1" s="28" t="s">
        <v>6</v>
      </c>
      <c r="G1" s="28" t="s">
        <v>15</v>
      </c>
      <c r="H1" s="28" t="s">
        <v>16</v>
      </c>
      <c r="I1" s="29" t="s">
        <v>17</v>
      </c>
      <c r="K1" s="24"/>
      <c r="L1" s="24" t="s">
        <v>4</v>
      </c>
      <c r="M1" s="24" t="s">
        <v>5</v>
      </c>
      <c r="N1" s="24" t="s">
        <v>7</v>
      </c>
      <c r="O1" s="24" t="s">
        <v>6</v>
      </c>
      <c r="P1" s="28" t="s">
        <v>15</v>
      </c>
      <c r="Q1" s="28" t="s">
        <v>16</v>
      </c>
      <c r="R1" s="29" t="s">
        <v>17</v>
      </c>
    </row>
    <row r="2" spans="1:58" s="2" customFormat="1" x14ac:dyDescent="0.3">
      <c r="A2" s="24"/>
      <c r="B2" s="25"/>
      <c r="C2" s="67" t="s">
        <v>18</v>
      </c>
      <c r="D2" s="68"/>
      <c r="E2" s="68"/>
      <c r="F2" s="69"/>
      <c r="G2" s="19"/>
      <c r="H2" s="19"/>
      <c r="I2" s="44"/>
      <c r="K2" s="24"/>
      <c r="L2" s="70" t="s">
        <v>19</v>
      </c>
      <c r="M2" s="70"/>
      <c r="N2" s="70"/>
      <c r="O2" s="70"/>
      <c r="R2" s="48"/>
    </row>
    <row r="3" spans="1:58" x14ac:dyDescent="0.3">
      <c r="A3" s="15">
        <v>0</v>
      </c>
      <c r="B3" s="16">
        <v>2005</v>
      </c>
      <c r="C3" s="26">
        <v>21197.199088034748</v>
      </c>
      <c r="D3" s="26">
        <v>41798.488083467069</v>
      </c>
      <c r="E3" s="26">
        <v>15147.721441761107</v>
      </c>
      <c r="F3" s="27">
        <f>'Taiwan_54years v.s Rezidu'!E36</f>
        <v>16600.115804208392</v>
      </c>
      <c r="G3" s="31">
        <f t="shared" ref="G3:G22" si="0">_xlfn.STDEV.S(C3:F3)</f>
        <v>12347.311584184932</v>
      </c>
      <c r="H3" s="32">
        <f t="shared" ref="H3:H22" si="1">G3/I3</f>
        <v>0.52129416380072968</v>
      </c>
      <c r="I3" s="33">
        <f t="shared" ref="I3:I22" si="2">AVERAGE(C3:F3)</f>
        <v>23685.881104367829</v>
      </c>
      <c r="K3" s="30">
        <v>2005</v>
      </c>
      <c r="L3" s="36">
        <f>LN(C3)</f>
        <v>9.9616243334427601</v>
      </c>
      <c r="M3" s="36">
        <f t="shared" ref="M3:O18" si="3">LN(D3)</f>
        <v>10.640615447606704</v>
      </c>
      <c r="N3" s="36">
        <f t="shared" si="3"/>
        <v>9.6256053997425628</v>
      </c>
      <c r="O3" s="36">
        <f t="shared" si="3"/>
        <v>9.717164950477434</v>
      </c>
      <c r="P3" s="35">
        <f>_xlfn.STDEV.S(L3:O3)</f>
        <v>0.4587199051057404</v>
      </c>
      <c r="Q3" s="34">
        <f>P3/R3</f>
        <v>4.5935139693120138E-2</v>
      </c>
      <c r="R3" s="37">
        <f>AVERAGE(L3:O3)</f>
        <v>9.9862525328173639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x14ac:dyDescent="0.3">
      <c r="A4" s="15">
        <v>1</v>
      </c>
      <c r="B4" s="16">
        <v>2006</v>
      </c>
      <c r="C4" s="26">
        <v>22196.207745926582</v>
      </c>
      <c r="D4" s="26">
        <v>44159.41018205518</v>
      </c>
      <c r="E4" s="26">
        <v>16107.304250268831</v>
      </c>
      <c r="F4" s="27">
        <f>'Taiwan_54years v.s Rezidu'!E37</f>
        <v>17485.929393164854</v>
      </c>
      <c r="G4" s="31">
        <f t="shared" si="0"/>
        <v>13044.601568843158</v>
      </c>
      <c r="H4" s="32">
        <f t="shared" si="1"/>
        <v>0.52205108367943698</v>
      </c>
      <c r="I4" s="33">
        <f t="shared" si="2"/>
        <v>24987.212892853862</v>
      </c>
      <c r="K4" s="15">
        <v>2006</v>
      </c>
      <c r="L4" s="36">
        <f t="shared" ref="L4:L22" si="4">LN(C4)</f>
        <v>10.007676731013028</v>
      </c>
      <c r="M4" s="36">
        <f t="shared" si="3"/>
        <v>10.695561324477159</v>
      </c>
      <c r="N4" s="36">
        <f t="shared" si="3"/>
        <v>9.6870281282317556</v>
      </c>
      <c r="O4" s="36">
        <f t="shared" si="3"/>
        <v>9.7691518018260641</v>
      </c>
      <c r="P4" s="35">
        <f t="shared" ref="P4:P22" si="5">_xlfn.STDEV.S(L4:O4)</f>
        <v>0.45780390558137868</v>
      </c>
      <c r="Q4" s="34">
        <f t="shared" ref="Q4:Q22" si="6">P4/R4</f>
        <v>4.5598659397516818E-2</v>
      </c>
      <c r="R4" s="37">
        <f t="shared" ref="R4:R22" si="7">AVERAGE(L4:O4)</f>
        <v>10.039854496387003</v>
      </c>
    </row>
    <row r="5" spans="1:58" x14ac:dyDescent="0.3">
      <c r="A5" s="15">
        <v>2</v>
      </c>
      <c r="B5" s="16">
        <v>2007</v>
      </c>
      <c r="C5" s="26">
        <v>23365.140206481203</v>
      </c>
      <c r="D5" s="26">
        <v>46178.813947019909</v>
      </c>
      <c r="E5" s="26">
        <v>16892.54285497405</v>
      </c>
      <c r="F5" s="27">
        <f>'Taiwan_54years v.s Rezidu'!E38</f>
        <v>18607.105086960299</v>
      </c>
      <c r="G5" s="31">
        <f t="shared" si="0"/>
        <v>13557.967066762874</v>
      </c>
      <c r="H5" s="32">
        <f t="shared" si="1"/>
        <v>0.51627959423725889</v>
      </c>
      <c r="I5" s="33">
        <f t="shared" si="2"/>
        <v>26260.900523858865</v>
      </c>
      <c r="K5" s="15">
        <v>2007</v>
      </c>
      <c r="L5" s="36">
        <f t="shared" si="4"/>
        <v>10.059000455821902</v>
      </c>
      <c r="M5" s="36">
        <f t="shared" si="3"/>
        <v>10.740276399317946</v>
      </c>
      <c r="N5" s="36">
        <f t="shared" si="3"/>
        <v>9.7346275523462467</v>
      </c>
      <c r="O5" s="36">
        <f t="shared" si="3"/>
        <v>9.8312987806827863</v>
      </c>
      <c r="P5" s="35">
        <f t="shared" si="5"/>
        <v>0.45351570953496728</v>
      </c>
      <c r="Q5" s="34">
        <f t="shared" si="6"/>
        <v>4.494125372498E-2</v>
      </c>
      <c r="R5" s="37">
        <f t="shared" si="7"/>
        <v>10.091300797042219</v>
      </c>
    </row>
    <row r="6" spans="1:58" x14ac:dyDescent="0.3">
      <c r="A6" s="15">
        <v>3</v>
      </c>
      <c r="B6" s="16">
        <v>2008</v>
      </c>
      <c r="C6" s="26">
        <v>23887.0595538423</v>
      </c>
      <c r="D6" s="26">
        <v>44601.579930269872</v>
      </c>
      <c r="E6" s="26">
        <v>17190.64703332894</v>
      </c>
      <c r="F6" s="27">
        <f>'Taiwan_54years v.s Rezidu'!E39</f>
        <v>18690.276499000625</v>
      </c>
      <c r="G6" s="31">
        <f t="shared" si="0"/>
        <v>12668.674047664517</v>
      </c>
      <c r="H6" s="32">
        <f t="shared" si="1"/>
        <v>0.48553136303421224</v>
      </c>
      <c r="I6" s="33">
        <f t="shared" si="2"/>
        <v>26092.390754110438</v>
      </c>
      <c r="K6" s="15">
        <v>2008</v>
      </c>
      <c r="L6" s="36">
        <f t="shared" si="4"/>
        <v>10.081092150025523</v>
      </c>
      <c r="M6" s="36">
        <f t="shared" si="3"/>
        <v>10.705524561826238</v>
      </c>
      <c r="N6" s="36">
        <f t="shared" si="3"/>
        <v>9.7521207377691024</v>
      </c>
      <c r="O6" s="36">
        <f t="shared" si="3"/>
        <v>9.8357586942941992</v>
      </c>
      <c r="P6" s="35">
        <f t="shared" si="5"/>
        <v>0.43116058061474583</v>
      </c>
      <c r="Q6" s="34">
        <f t="shared" si="6"/>
        <v>4.2716132389900012E-2</v>
      </c>
      <c r="R6" s="37">
        <f t="shared" si="7"/>
        <v>10.093624035978765</v>
      </c>
    </row>
    <row r="7" spans="1:58" x14ac:dyDescent="0.3">
      <c r="A7" s="15">
        <v>4</v>
      </c>
      <c r="B7" s="16">
        <v>2009</v>
      </c>
      <c r="C7" s="26">
        <v>23952.813219106883</v>
      </c>
      <c r="D7" s="26">
        <v>43331.87466389616</v>
      </c>
      <c r="E7" s="26">
        <v>16272.808476671911</v>
      </c>
      <c r="F7" s="27">
        <f>'Taiwan_54years v.s Rezidu'!E40</f>
        <v>18324.376157791125</v>
      </c>
      <c r="G7" s="31">
        <f t="shared" si="0"/>
        <v>12342.294402735575</v>
      </c>
      <c r="H7" s="32">
        <f t="shared" si="1"/>
        <v>0.48457273498265074</v>
      </c>
      <c r="I7" s="33">
        <f t="shared" si="2"/>
        <v>25470.46812936652</v>
      </c>
      <c r="K7" s="15">
        <v>2009</v>
      </c>
      <c r="L7" s="36">
        <f t="shared" si="4"/>
        <v>10.083841058116572</v>
      </c>
      <c r="M7" s="36">
        <f t="shared" si="3"/>
        <v>10.676643778600649</v>
      </c>
      <c r="N7" s="36">
        <f t="shared" si="3"/>
        <v>9.6972508021986119</v>
      </c>
      <c r="O7" s="36">
        <f t="shared" si="3"/>
        <v>9.8159874829443243</v>
      </c>
      <c r="P7" s="35">
        <f t="shared" si="5"/>
        <v>0.43652518922638833</v>
      </c>
      <c r="Q7" s="34">
        <f t="shared" si="6"/>
        <v>4.3355831583342934E-2</v>
      </c>
      <c r="R7" s="37">
        <f t="shared" si="7"/>
        <v>10.068430780465039</v>
      </c>
    </row>
    <row r="8" spans="1:58" x14ac:dyDescent="0.3">
      <c r="A8" s="15">
        <v>5</v>
      </c>
      <c r="B8" s="16">
        <v>2010</v>
      </c>
      <c r="C8" s="26">
        <v>25455.617484365761</v>
      </c>
      <c r="D8" s="26">
        <v>48752.051544185873</v>
      </c>
      <c r="E8" s="26">
        <v>16665.9317825137</v>
      </c>
      <c r="F8" s="27">
        <f>'Taiwan_54years v.s Rezidu'!E41</f>
        <v>20147.160064102143</v>
      </c>
      <c r="G8" s="31">
        <f t="shared" si="0"/>
        <v>14456.947531434816</v>
      </c>
      <c r="H8" s="32">
        <f t="shared" si="1"/>
        <v>0.52087366065488638</v>
      </c>
      <c r="I8" s="33">
        <f t="shared" si="2"/>
        <v>27755.190218791868</v>
      </c>
      <c r="K8" s="15">
        <v>2010</v>
      </c>
      <c r="L8" s="36">
        <f t="shared" si="4"/>
        <v>10.144691723923412</v>
      </c>
      <c r="M8" s="36">
        <f t="shared" si="3"/>
        <v>10.79450255849819</v>
      </c>
      <c r="N8" s="36">
        <f t="shared" si="3"/>
        <v>9.7211219017208688</v>
      </c>
      <c r="O8" s="36">
        <f t="shared" si="3"/>
        <v>9.9108186176950976</v>
      </c>
      <c r="P8" s="35">
        <f t="shared" si="5"/>
        <v>0.46774194545503628</v>
      </c>
      <c r="Q8" s="34">
        <f t="shared" si="6"/>
        <v>4.6115736987849897E-2</v>
      </c>
      <c r="R8" s="37">
        <f t="shared" si="7"/>
        <v>10.142783700459393</v>
      </c>
    </row>
    <row r="9" spans="1:58" x14ac:dyDescent="0.3">
      <c r="A9" s="15">
        <v>6</v>
      </c>
      <c r="B9" s="16">
        <v>2011</v>
      </c>
      <c r="C9" s="26">
        <v>26191.644261542089</v>
      </c>
      <c r="D9" s="26">
        <v>50713.532639359408</v>
      </c>
      <c r="E9" s="26">
        <v>16926.284667443535</v>
      </c>
      <c r="F9" s="27">
        <f>'Taiwan_54years v.s Rezidu'!E42</f>
        <v>20839.839608477254</v>
      </c>
      <c r="G9" s="31">
        <f t="shared" si="0"/>
        <v>15179.875065807395</v>
      </c>
      <c r="H9" s="32">
        <f t="shared" si="1"/>
        <v>0.52950912425420704</v>
      </c>
      <c r="I9" s="33">
        <f t="shared" si="2"/>
        <v>28667.82529420557</v>
      </c>
      <c r="K9" s="15">
        <v>2011</v>
      </c>
      <c r="L9" s="36">
        <f t="shared" si="4"/>
        <v>10.173195717567783</v>
      </c>
      <c r="M9" s="36">
        <f t="shared" si="3"/>
        <v>10.833948069927242</v>
      </c>
      <c r="N9" s="36">
        <f t="shared" si="3"/>
        <v>9.7366229984416623</v>
      </c>
      <c r="O9" s="36">
        <f t="shared" si="3"/>
        <v>9.94462179950742</v>
      </c>
      <c r="P9" s="35">
        <f t="shared" si="5"/>
        <v>0.47589586354454122</v>
      </c>
      <c r="Q9" s="34">
        <f t="shared" si="6"/>
        <v>4.6784439501227987E-2</v>
      </c>
      <c r="R9" s="37">
        <f t="shared" si="7"/>
        <v>10.172097146361025</v>
      </c>
    </row>
    <row r="10" spans="1:58" x14ac:dyDescent="0.3">
      <c r="A10" s="15">
        <v>7</v>
      </c>
      <c r="B10" s="16">
        <v>2012</v>
      </c>
      <c r="C10" s="26">
        <v>26680.275444870527</v>
      </c>
      <c r="D10" s="26">
        <v>51679.352717333037</v>
      </c>
      <c r="E10" s="26">
        <v>16772.353922332768</v>
      </c>
      <c r="F10" s="27">
        <f>'Taiwan_54years v.s Rezidu'!E43</f>
        <v>21232.321947670272</v>
      </c>
      <c r="G10" s="31">
        <f t="shared" si="0"/>
        <v>15594.370065905601</v>
      </c>
      <c r="H10" s="32">
        <f t="shared" si="1"/>
        <v>0.53605339526078333</v>
      </c>
      <c r="I10" s="33">
        <f t="shared" si="2"/>
        <v>29091.076008051648</v>
      </c>
      <c r="K10" s="15">
        <v>2012</v>
      </c>
      <c r="L10" s="36">
        <f t="shared" si="4"/>
        <v>10.191679823996902</v>
      </c>
      <c r="M10" s="36">
        <f t="shared" si="3"/>
        <v>10.85281361355864</v>
      </c>
      <c r="N10" s="36">
        <f t="shared" si="3"/>
        <v>9.7274872100434902</v>
      </c>
      <c r="O10" s="36">
        <f t="shared" si="3"/>
        <v>9.9632799197798541</v>
      </c>
      <c r="P10" s="35">
        <f t="shared" si="5"/>
        <v>0.48459322250526182</v>
      </c>
      <c r="Q10" s="34">
        <f t="shared" si="6"/>
        <v>4.7584644433901362E-2</v>
      </c>
      <c r="R10" s="37">
        <f t="shared" si="7"/>
        <v>10.183815141844722</v>
      </c>
    </row>
    <row r="11" spans="1:58" x14ac:dyDescent="0.3">
      <c r="A11" s="15">
        <v>8</v>
      </c>
      <c r="B11" s="16">
        <v>2013</v>
      </c>
      <c r="C11" s="26">
        <v>27399.6159477521</v>
      </c>
      <c r="D11" s="26">
        <v>53298.972855828622</v>
      </c>
      <c r="E11" s="26">
        <v>16759.7808635642</v>
      </c>
      <c r="F11" s="27">
        <f>'Taiwan_54years v.s Rezidu'!E44</f>
        <v>21690.285701619163</v>
      </c>
      <c r="G11" s="31">
        <f t="shared" si="0"/>
        <v>16266.301474081267</v>
      </c>
      <c r="H11" s="32">
        <f t="shared" si="1"/>
        <v>0.54608426502967067</v>
      </c>
      <c r="I11" s="33">
        <f t="shared" si="2"/>
        <v>29787.163842191025</v>
      </c>
      <c r="K11" s="15">
        <v>2013</v>
      </c>
      <c r="L11" s="36">
        <f t="shared" si="4"/>
        <v>10.218284275772533</v>
      </c>
      <c r="M11" s="36">
        <f t="shared" si="3"/>
        <v>10.88367233897066</v>
      </c>
      <c r="N11" s="36">
        <f t="shared" si="3"/>
        <v>9.7267372989842595</v>
      </c>
      <c r="O11" s="36">
        <f t="shared" si="3"/>
        <v>9.9846197757774693</v>
      </c>
      <c r="P11" s="35">
        <f t="shared" si="5"/>
        <v>0.49600540769597223</v>
      </c>
      <c r="Q11" s="34">
        <f t="shared" si="6"/>
        <v>4.861211823861479E-2</v>
      </c>
      <c r="R11" s="37">
        <f t="shared" si="7"/>
        <v>10.203328422376231</v>
      </c>
    </row>
    <row r="12" spans="1:58" x14ac:dyDescent="0.3">
      <c r="A12" s="15">
        <v>9</v>
      </c>
      <c r="B12" s="16">
        <v>2014</v>
      </c>
      <c r="C12" s="26">
        <v>28100.010275954399</v>
      </c>
      <c r="D12" s="26">
        <v>54681.933645825324</v>
      </c>
      <c r="E12" s="26">
        <v>17118.042557157849</v>
      </c>
      <c r="F12" s="27">
        <f>'Taiwan_54years v.s Rezidu'!E45</f>
        <v>22656.566702057029</v>
      </c>
      <c r="G12" s="31">
        <f t="shared" si="0"/>
        <v>16643.764183292227</v>
      </c>
      <c r="H12" s="32">
        <f t="shared" si="1"/>
        <v>0.54321906911700746</v>
      </c>
      <c r="I12" s="33">
        <f t="shared" si="2"/>
        <v>30639.138295248649</v>
      </c>
      <c r="K12" s="15">
        <v>2014</v>
      </c>
      <c r="L12" s="36">
        <f t="shared" si="4"/>
        <v>10.243525221014098</v>
      </c>
      <c r="M12" s="36">
        <f t="shared" si="3"/>
        <v>10.909288653157498</v>
      </c>
      <c r="N12" s="36">
        <f t="shared" si="3"/>
        <v>9.7478883065441924</v>
      </c>
      <c r="O12" s="36">
        <f t="shared" si="3"/>
        <v>10.028205009512938</v>
      </c>
      <c r="P12" s="35">
        <f t="shared" si="5"/>
        <v>0.4948902486259168</v>
      </c>
      <c r="Q12" s="34">
        <f t="shared" si="6"/>
        <v>4.8365840438961513E-2</v>
      </c>
      <c r="R12" s="37">
        <f t="shared" si="7"/>
        <v>10.232226797557182</v>
      </c>
    </row>
    <row r="13" spans="1:58" x14ac:dyDescent="0.3">
      <c r="A13" s="15">
        <v>10</v>
      </c>
      <c r="B13" s="16">
        <v>2015</v>
      </c>
      <c r="C13" s="26">
        <v>28737.439170649883</v>
      </c>
      <c r="D13" s="26">
        <v>55645.606861460568</v>
      </c>
      <c r="E13" s="26">
        <v>17931.598767076761</v>
      </c>
      <c r="F13" s="27">
        <f>'Taiwan_54years v.s Rezidu'!E46</f>
        <v>22930.448534902185</v>
      </c>
      <c r="G13" s="31">
        <f t="shared" si="0"/>
        <v>16813.073547650009</v>
      </c>
      <c r="H13" s="32">
        <f t="shared" si="1"/>
        <v>0.5369655002069067</v>
      </c>
      <c r="I13" s="33">
        <f t="shared" si="2"/>
        <v>31311.273333522349</v>
      </c>
      <c r="K13" s="15">
        <v>2015</v>
      </c>
      <c r="L13" s="36">
        <f t="shared" si="4"/>
        <v>10.2659560523454</v>
      </c>
      <c r="M13" s="36">
        <f t="shared" si="3"/>
        <v>10.92675841129577</v>
      </c>
      <c r="N13" s="36">
        <f t="shared" si="3"/>
        <v>9.7943197297783335</v>
      </c>
      <c r="O13" s="36">
        <f t="shared" si="3"/>
        <v>10.040220936711755</v>
      </c>
      <c r="P13" s="35">
        <f t="shared" si="5"/>
        <v>0.48638893778531828</v>
      </c>
      <c r="Q13" s="34">
        <f t="shared" si="6"/>
        <v>4.742105570968156E-2</v>
      </c>
      <c r="R13" s="37">
        <f t="shared" si="7"/>
        <v>10.256813782532815</v>
      </c>
    </row>
    <row r="14" spans="1:58" x14ac:dyDescent="0.3">
      <c r="A14" s="15">
        <v>11</v>
      </c>
      <c r="B14" s="16">
        <v>2016</v>
      </c>
      <c r="C14" s="26">
        <v>29467.124342556046</v>
      </c>
      <c r="D14" s="26">
        <v>56986.785310291074</v>
      </c>
      <c r="E14" s="26">
        <v>18359.097810390373</v>
      </c>
      <c r="F14" s="27">
        <f>'Taiwan_54years v.s Rezidu'!E47</f>
        <v>23374.064195149658</v>
      </c>
      <c r="G14" s="31">
        <f t="shared" si="0"/>
        <v>17235.884382523982</v>
      </c>
      <c r="H14" s="32">
        <f t="shared" si="1"/>
        <v>0.53783534203688954</v>
      </c>
      <c r="I14" s="33">
        <f t="shared" si="2"/>
        <v>32046.767914596792</v>
      </c>
      <c r="K14" s="15">
        <v>2016</v>
      </c>
      <c r="L14" s="36">
        <f t="shared" si="4"/>
        <v>10.291030491824202</v>
      </c>
      <c r="M14" s="36">
        <f t="shared" si="3"/>
        <v>10.950574683276853</v>
      </c>
      <c r="N14" s="36">
        <f t="shared" si="3"/>
        <v>9.8178805240995004</v>
      </c>
      <c r="O14" s="36">
        <f t="shared" si="3"/>
        <v>10.059382318923388</v>
      </c>
      <c r="P14" s="35">
        <f t="shared" si="5"/>
        <v>0.48717496120188281</v>
      </c>
      <c r="Q14" s="34">
        <f t="shared" si="6"/>
        <v>4.739186506663081E-2</v>
      </c>
      <c r="R14" s="37">
        <f t="shared" si="7"/>
        <v>10.279717004530987</v>
      </c>
    </row>
    <row r="15" spans="1:58" x14ac:dyDescent="0.3">
      <c r="A15" s="15">
        <v>12</v>
      </c>
      <c r="B15" s="16">
        <v>2017</v>
      </c>
      <c r="C15" s="26">
        <v>30312.888850080901</v>
      </c>
      <c r="D15" s="26">
        <v>59485.301587392081</v>
      </c>
      <c r="E15" s="26">
        <v>19257.693068091088</v>
      </c>
      <c r="F15" s="27">
        <f>'Taiwan_54years v.s Rezidu'!E48</f>
        <v>24189.243527694911</v>
      </c>
      <c r="G15" s="31">
        <f t="shared" si="0"/>
        <v>18025.764991625689</v>
      </c>
      <c r="H15" s="32">
        <f t="shared" si="1"/>
        <v>0.54113093342997298</v>
      </c>
      <c r="I15" s="33">
        <f t="shared" si="2"/>
        <v>33311.281758314741</v>
      </c>
      <c r="K15" s="15">
        <v>2017</v>
      </c>
      <c r="L15" s="36">
        <f t="shared" si="4"/>
        <v>10.319328275641466</v>
      </c>
      <c r="M15" s="36">
        <f t="shared" si="3"/>
        <v>10.993484528871583</v>
      </c>
      <c r="N15" s="36">
        <f t="shared" si="3"/>
        <v>9.8656658997820106</v>
      </c>
      <c r="O15" s="36">
        <f t="shared" si="3"/>
        <v>10.093663331006571</v>
      </c>
      <c r="P15" s="35">
        <f t="shared" si="5"/>
        <v>0.48689978000016376</v>
      </c>
      <c r="Q15" s="34">
        <f t="shared" si="6"/>
        <v>4.718919406544976E-2</v>
      </c>
      <c r="R15" s="37">
        <f t="shared" si="7"/>
        <v>10.318035508825407</v>
      </c>
    </row>
    <row r="16" spans="1:58" x14ac:dyDescent="0.3">
      <c r="A16" s="15">
        <v>13</v>
      </c>
      <c r="B16" s="16">
        <v>2018</v>
      </c>
      <c r="C16" s="26">
        <v>31059.266808792658</v>
      </c>
      <c r="D16" s="26">
        <v>61250.347667230191</v>
      </c>
      <c r="E16" s="26">
        <v>19736.629526128501</v>
      </c>
      <c r="F16" s="27">
        <f>'Taiwan_54years v.s Rezidu'!E49</f>
        <v>24866.134308006269</v>
      </c>
      <c r="G16" s="31">
        <f t="shared" si="0"/>
        <v>18600.111925253419</v>
      </c>
      <c r="H16" s="32">
        <f t="shared" si="1"/>
        <v>0.543416516602092</v>
      </c>
      <c r="I16" s="33">
        <f t="shared" si="2"/>
        <v>34228.094577539407</v>
      </c>
      <c r="K16" s="15">
        <v>2018</v>
      </c>
      <c r="L16" s="36">
        <f t="shared" si="4"/>
        <v>10.343652490783128</v>
      </c>
      <c r="M16" s="36">
        <f t="shared" si="3"/>
        <v>11.02272480459054</v>
      </c>
      <c r="N16" s="36">
        <f t="shared" si="3"/>
        <v>9.8902315550519475</v>
      </c>
      <c r="O16" s="36">
        <f t="shared" si="3"/>
        <v>10.12126208876936</v>
      </c>
      <c r="P16" s="35">
        <f t="shared" si="5"/>
        <v>0.48859819373240876</v>
      </c>
      <c r="Q16" s="34">
        <f t="shared" si="6"/>
        <v>4.7232801750520866E-2</v>
      </c>
      <c r="R16" s="37">
        <f t="shared" si="7"/>
        <v>10.344467734798744</v>
      </c>
    </row>
    <row r="17" spans="1:18" x14ac:dyDescent="0.3">
      <c r="A17" s="15">
        <v>14</v>
      </c>
      <c r="B17" s="16">
        <v>2019</v>
      </c>
      <c r="C17" s="26">
        <v>31645.94983433067</v>
      </c>
      <c r="D17" s="26">
        <v>61345.529182006161</v>
      </c>
      <c r="E17" s="26">
        <v>20360.059922181354</v>
      </c>
      <c r="F17" s="27">
        <f>'Taiwan_54years v.s Rezidu'!E50</f>
        <v>25608.551955549003</v>
      </c>
      <c r="G17" s="31">
        <f t="shared" si="0"/>
        <v>18326.60497301085</v>
      </c>
      <c r="H17" s="32">
        <f t="shared" si="1"/>
        <v>0.52753577966444154</v>
      </c>
      <c r="I17" s="33">
        <f t="shared" si="2"/>
        <v>34740.022723516799</v>
      </c>
      <c r="K17" s="15">
        <v>2019</v>
      </c>
      <c r="L17" s="36">
        <f t="shared" si="4"/>
        <v>10.362365452064081</v>
      </c>
      <c r="M17" s="36">
        <f t="shared" si="3"/>
        <v>11.024277573514691</v>
      </c>
      <c r="N17" s="36">
        <f t="shared" si="3"/>
        <v>9.9213304137928073</v>
      </c>
      <c r="O17" s="36">
        <f t="shared" si="3"/>
        <v>10.150681635445414</v>
      </c>
      <c r="P17" s="35">
        <f t="shared" si="5"/>
        <v>0.47519416055858077</v>
      </c>
      <c r="Q17" s="34">
        <f t="shared" si="6"/>
        <v>4.5847523003439188E-2</v>
      </c>
      <c r="R17" s="37">
        <f t="shared" si="7"/>
        <v>10.364663768704249</v>
      </c>
    </row>
    <row r="18" spans="1:18" x14ac:dyDescent="0.3">
      <c r="A18" s="15">
        <v>15</v>
      </c>
      <c r="B18" s="16">
        <v>2020</v>
      </c>
      <c r="C18" s="26">
        <v>31378.157934064751</v>
      </c>
      <c r="D18" s="26">
        <v>59189.703857430002</v>
      </c>
      <c r="E18" s="26">
        <v>19233.146954982902</v>
      </c>
      <c r="F18" s="27">
        <f>'Taiwan_54years v.s Rezidu'!E51</f>
        <v>26499.985109749879</v>
      </c>
      <c r="G18" s="31">
        <f t="shared" si="0"/>
        <v>17470.763760498685</v>
      </c>
      <c r="H18" s="32">
        <f t="shared" si="1"/>
        <v>0.51271126544908763</v>
      </c>
      <c r="I18" s="33">
        <f t="shared" si="2"/>
        <v>34075.248464056887</v>
      </c>
      <c r="K18" s="15">
        <v>2020</v>
      </c>
      <c r="L18" s="36">
        <f t="shared" si="4"/>
        <v>10.353867322654017</v>
      </c>
      <c r="M18" s="36">
        <f t="shared" si="3"/>
        <v>10.988502884418834</v>
      </c>
      <c r="N18" s="36">
        <f t="shared" si="3"/>
        <v>9.8643904733989576</v>
      </c>
      <c r="O18" s="36">
        <f t="shared" si="3"/>
        <v>10.184899450077925</v>
      </c>
      <c r="P18" s="35">
        <f t="shared" si="5"/>
        <v>0.47284892060443184</v>
      </c>
      <c r="Q18" s="34">
        <f t="shared" si="6"/>
        <v>4.5695091147642912E-2</v>
      </c>
      <c r="R18" s="37">
        <f t="shared" si="7"/>
        <v>10.347915032637435</v>
      </c>
    </row>
    <row r="19" spans="1:18" x14ac:dyDescent="0.3">
      <c r="A19" s="15">
        <v>16</v>
      </c>
      <c r="B19" s="16">
        <v>2021</v>
      </c>
      <c r="C19" s="26">
        <v>32771.072424322905</v>
      </c>
      <c r="D19" s="26">
        <v>67731.261071171655</v>
      </c>
      <c r="E19" s="26">
        <v>20373.878304342365</v>
      </c>
      <c r="F19" s="27">
        <f>'Taiwan_54years v.s Rezidu'!E52</f>
        <v>28418.132385268702</v>
      </c>
      <c r="G19" s="31">
        <f t="shared" si="0"/>
        <v>20912.13187078293</v>
      </c>
      <c r="H19" s="32">
        <f t="shared" si="1"/>
        <v>0.5602926751157995</v>
      </c>
      <c r="I19" s="33">
        <f t="shared" si="2"/>
        <v>37323.586046276403</v>
      </c>
      <c r="K19" s="15">
        <v>2021</v>
      </c>
      <c r="L19" s="36">
        <f t="shared" si="4"/>
        <v>10.397301466953017</v>
      </c>
      <c r="M19" s="36">
        <f t="shared" ref="M19:M22" si="8">LN(D19)</f>
        <v>11.123303111128656</v>
      </c>
      <c r="N19" s="36">
        <f t="shared" ref="N19:N22" si="9">LN(E19)</f>
        <v>9.9220088840460026</v>
      </c>
      <c r="O19" s="36">
        <f t="shared" ref="O19:O22" si="10">LN(F19)</f>
        <v>10.254782684687722</v>
      </c>
      <c r="P19" s="35">
        <f t="shared" si="5"/>
        <v>0.50674344129708304</v>
      </c>
      <c r="Q19" s="34">
        <f t="shared" si="6"/>
        <v>4.8611519003522737E-2</v>
      </c>
      <c r="R19" s="37">
        <f t="shared" si="7"/>
        <v>10.424349036703848</v>
      </c>
    </row>
    <row r="20" spans="1:18" x14ac:dyDescent="0.3">
      <c r="A20" s="15">
        <v>17</v>
      </c>
      <c r="B20" s="16">
        <v>2022</v>
      </c>
      <c r="C20" s="26">
        <v>33690.378879304561</v>
      </c>
      <c r="D20" s="26">
        <v>68218.805333561977</v>
      </c>
      <c r="E20" s="26">
        <v>20627.348651010972</v>
      </c>
      <c r="F20" s="27">
        <f>'Taiwan_54years v.s Rezidu'!E53</f>
        <v>29366.309937499183</v>
      </c>
      <c r="G20" s="31">
        <f t="shared" si="0"/>
        <v>20881.381572269936</v>
      </c>
      <c r="H20" s="32">
        <f t="shared" si="1"/>
        <v>0.54986150850576943</v>
      </c>
      <c r="I20" s="33">
        <f t="shared" si="2"/>
        <v>37975.710700344171</v>
      </c>
      <c r="K20" s="15">
        <v>2022</v>
      </c>
      <c r="L20" s="36">
        <f t="shared" si="4"/>
        <v>10.424967582383802</v>
      </c>
      <c r="M20" s="36">
        <f t="shared" si="8"/>
        <v>11.130475543851578</v>
      </c>
      <c r="N20" s="36">
        <f t="shared" si="9"/>
        <v>9.9343730787081412</v>
      </c>
      <c r="O20" s="36">
        <f t="shared" si="10"/>
        <v>10.287603375764645</v>
      </c>
      <c r="P20" s="35">
        <f t="shared" si="5"/>
        <v>0.5019262576653809</v>
      </c>
      <c r="Q20" s="34">
        <f t="shared" si="6"/>
        <v>4.8057181386775609E-2</v>
      </c>
      <c r="R20" s="37">
        <f t="shared" si="7"/>
        <v>10.444354895177042</v>
      </c>
    </row>
    <row r="21" spans="1:18" x14ac:dyDescent="0.3">
      <c r="A21" s="15">
        <v>18</v>
      </c>
      <c r="B21" s="16">
        <v>2023</v>
      </c>
      <c r="C21" s="26">
        <v>34121.021175676644</v>
      </c>
      <c r="D21" s="26">
        <v>66167.359630360719</v>
      </c>
      <c r="E21" s="26">
        <v>20251.748551977889</v>
      </c>
      <c r="F21" s="27">
        <f>'Taiwan_54years v.s Rezidu'!E54</f>
        <v>29656.229326596149</v>
      </c>
      <c r="G21" s="31">
        <f t="shared" si="0"/>
        <v>19935.331142467916</v>
      </c>
      <c r="H21" s="32">
        <f t="shared" si="1"/>
        <v>0.53091383351919896</v>
      </c>
      <c r="I21" s="33">
        <f t="shared" si="2"/>
        <v>37549.089671152848</v>
      </c>
      <c r="K21" s="15">
        <v>2023</v>
      </c>
      <c r="L21" s="36">
        <f t="shared" si="4"/>
        <v>10.4376689301049</v>
      </c>
      <c r="M21" s="36">
        <f t="shared" si="8"/>
        <v>11.099942563389364</v>
      </c>
      <c r="N21" s="36">
        <f t="shared" si="9"/>
        <v>9.9159964170527122</v>
      </c>
      <c r="O21" s="36">
        <f t="shared" si="10"/>
        <v>10.297427477691016</v>
      </c>
      <c r="P21" s="35">
        <f t="shared" si="5"/>
        <v>0.49342889013274932</v>
      </c>
      <c r="Q21" s="34">
        <f t="shared" si="6"/>
        <v>4.7273451836047829E-2</v>
      </c>
      <c r="R21" s="37">
        <f t="shared" si="7"/>
        <v>10.437758847059499</v>
      </c>
    </row>
    <row r="22" spans="1:18" x14ac:dyDescent="0.3">
      <c r="A22" s="15">
        <v>19</v>
      </c>
      <c r="B22" s="16">
        <v>2024</v>
      </c>
      <c r="C22" s="26">
        <f>C21*1.022</f>
        <v>34871.683641541531</v>
      </c>
      <c r="D22" s="26">
        <v>67706.833614973919</v>
      </c>
      <c r="E22" s="26">
        <v>20444.543067636238</v>
      </c>
      <c r="F22" s="27">
        <f>'Taiwan_54years v.s Rezidu'!E55</f>
        <v>31127.84926258065</v>
      </c>
      <c r="G22" s="31">
        <f t="shared" si="0"/>
        <v>20384.195246282197</v>
      </c>
      <c r="H22" s="32">
        <f t="shared" si="1"/>
        <v>0.52894129008854451</v>
      </c>
      <c r="I22" s="33">
        <f t="shared" si="2"/>
        <v>38537.727396683083</v>
      </c>
      <c r="K22" s="15">
        <v>2024</v>
      </c>
      <c r="L22" s="36">
        <f t="shared" si="4"/>
        <v>10.459430421886413</v>
      </c>
      <c r="M22" s="36">
        <f t="shared" si="8"/>
        <v>11.122942393466182</v>
      </c>
      <c r="N22" s="36">
        <f t="shared" si="9"/>
        <v>9.925471283203736</v>
      </c>
      <c r="O22" s="36">
        <f t="shared" si="10"/>
        <v>10.345858172150116</v>
      </c>
      <c r="P22" s="35">
        <f t="shared" si="5"/>
        <v>0.49604949664425058</v>
      </c>
      <c r="Q22" s="34">
        <f t="shared" si="6"/>
        <v>4.7407944313823565E-2</v>
      </c>
      <c r="R22" s="37">
        <f t="shared" si="7"/>
        <v>10.463425567676612</v>
      </c>
    </row>
    <row r="23" spans="1:18" x14ac:dyDescent="0.3">
      <c r="A23" s="15" t="s">
        <v>2</v>
      </c>
      <c r="B23" s="16" t="s">
        <v>0</v>
      </c>
      <c r="C23" s="17">
        <f>LN(C3)</f>
        <v>9.9616243334427601</v>
      </c>
      <c r="D23" s="17">
        <f>LN(D3)</f>
        <v>10.640615447606704</v>
      </c>
      <c r="E23" s="17">
        <f>LN(E3)</f>
        <v>9.6256053997425628</v>
      </c>
      <c r="F23" s="17">
        <f>LN(F3)</f>
        <v>9.717164950477434</v>
      </c>
      <c r="G23" s="22"/>
      <c r="I23" s="21"/>
      <c r="J23" s="20"/>
    </row>
    <row r="24" spans="1:18" x14ac:dyDescent="0.3">
      <c r="A24" s="15" t="s">
        <v>3</v>
      </c>
      <c r="B24" s="16" t="s">
        <v>1</v>
      </c>
      <c r="C24" s="18">
        <f>LN(C22/C3)/$A$22</f>
        <v>2.620032044440275E-2</v>
      </c>
      <c r="D24" s="18">
        <f>LN(D22/D3)/$A$22</f>
        <v>2.5385628729446209E-2</v>
      </c>
      <c r="E24" s="18">
        <f>LN(E22/E3)/$A$22</f>
        <v>1.5782414919009103E-2</v>
      </c>
      <c r="F24" s="18">
        <f>LN(F22/F3)/$A$22</f>
        <v>3.308911693014116E-2</v>
      </c>
      <c r="G24" s="23"/>
      <c r="I24" s="21"/>
      <c r="J24" s="20"/>
    </row>
    <row r="50" spans="1:6" x14ac:dyDescent="0.3">
      <c r="A50" t="s">
        <v>22</v>
      </c>
      <c r="B50"/>
    </row>
    <row r="51" spans="1:6" ht="16.2" thickBot="1" x14ac:dyDescent="0.35">
      <c r="B51"/>
    </row>
    <row r="52" spans="1:6" x14ac:dyDescent="0.3">
      <c r="A52" s="47" t="s">
        <v>23</v>
      </c>
      <c r="B52" s="47"/>
    </row>
    <row r="53" spans="1:6" x14ac:dyDescent="0.3">
      <c r="A53" t="s">
        <v>24</v>
      </c>
      <c r="B53">
        <v>0.97174238605010865</v>
      </c>
    </row>
    <row r="54" spans="1:6" x14ac:dyDescent="0.3">
      <c r="A54" t="s">
        <v>25</v>
      </c>
      <c r="B54">
        <v>0.94428326484635849</v>
      </c>
    </row>
    <row r="55" spans="1:6" x14ac:dyDescent="0.3">
      <c r="A55" t="s">
        <v>26</v>
      </c>
      <c r="B55">
        <v>-1.3333333333333333</v>
      </c>
    </row>
    <row r="56" spans="1:6" x14ac:dyDescent="0.3">
      <c r="A56" t="s">
        <v>27</v>
      </c>
      <c r="B56">
        <v>7.0482748247457701E-3</v>
      </c>
    </row>
    <row r="57" spans="1:6" ht="16.2" thickBot="1" x14ac:dyDescent="0.35">
      <c r="A57" s="45" t="s">
        <v>28</v>
      </c>
      <c r="B57" s="45">
        <v>1</v>
      </c>
    </row>
    <row r="58" spans="1:6" x14ac:dyDescent="0.3">
      <c r="B58"/>
    </row>
    <row r="59" spans="1:6" ht="16.2" thickBot="1" x14ac:dyDescent="0.35">
      <c r="A59" t="s">
        <v>29</v>
      </c>
      <c r="B59"/>
    </row>
    <row r="60" spans="1:6" x14ac:dyDescent="0.3">
      <c r="A60" s="46"/>
      <c r="B60" s="46" t="s">
        <v>34</v>
      </c>
      <c r="C60" s="46" t="s">
        <v>35</v>
      </c>
      <c r="D60" s="46" t="s">
        <v>36</v>
      </c>
      <c r="E60" s="46" t="s">
        <v>37</v>
      </c>
      <c r="F60" s="46" t="s">
        <v>38</v>
      </c>
    </row>
    <row r="61" spans="1:6" x14ac:dyDescent="0.3">
      <c r="A61" t="s">
        <v>30</v>
      </c>
      <c r="B61">
        <v>4</v>
      </c>
      <c r="C61">
        <v>2.5258266832555542E-3</v>
      </c>
      <c r="D61">
        <v>6.3145667081388856E-4</v>
      </c>
      <c r="E61">
        <v>50.843786641973104</v>
      </c>
      <c r="F61" t="e">
        <v>#NUM!</v>
      </c>
    </row>
    <row r="62" spans="1:6" x14ac:dyDescent="0.3">
      <c r="A62" t="s">
        <v>31</v>
      </c>
      <c r="B62">
        <v>3</v>
      </c>
      <c r="C62">
        <v>1.4903453401543504E-4</v>
      </c>
      <c r="D62">
        <v>4.9678178005145015E-5</v>
      </c>
    </row>
    <row r="63" spans="1:6" ht="16.2" thickBot="1" x14ac:dyDescent="0.35">
      <c r="A63" s="45" t="s">
        <v>32</v>
      </c>
      <c r="B63" s="45">
        <v>7</v>
      </c>
      <c r="C63" s="45">
        <v>2.6748612172709891E-3</v>
      </c>
      <c r="D63" s="45"/>
      <c r="E63" s="45"/>
      <c r="F63" s="45"/>
    </row>
    <row r="64" spans="1:6" ht="16.2" thickBot="1" x14ac:dyDescent="0.35">
      <c r="B64"/>
    </row>
    <row r="65" spans="1:9" x14ac:dyDescent="0.3">
      <c r="A65" s="46"/>
      <c r="B65" s="46" t="s">
        <v>39</v>
      </c>
      <c r="C65" s="46" t="s">
        <v>27</v>
      </c>
      <c r="D65" s="46" t="s">
        <v>40</v>
      </c>
      <c r="E65" s="46" t="s">
        <v>41</v>
      </c>
      <c r="F65" s="46" t="s">
        <v>42</v>
      </c>
      <c r="G65" s="46" t="s">
        <v>43</v>
      </c>
      <c r="H65" s="46" t="s">
        <v>44</v>
      </c>
      <c r="I65" s="46" t="s">
        <v>45</v>
      </c>
    </row>
    <row r="66" spans="1:9" x14ac:dyDescent="0.3">
      <c r="A66" t="s">
        <v>33</v>
      </c>
      <c r="B66"/>
      <c r="H66">
        <v>0</v>
      </c>
      <c r="I66">
        <v>0</v>
      </c>
    </row>
    <row r="67" spans="1:9" x14ac:dyDescent="0.3">
      <c r="A67" t="s">
        <v>46</v>
      </c>
      <c r="B67"/>
      <c r="H67">
        <v>0</v>
      </c>
      <c r="I67">
        <v>0</v>
      </c>
    </row>
    <row r="68" spans="1:9" x14ac:dyDescent="0.3">
      <c r="A68" t="s">
        <v>47</v>
      </c>
      <c r="B68"/>
      <c r="H68">
        <v>0</v>
      </c>
      <c r="I68">
        <v>0</v>
      </c>
    </row>
    <row r="69" spans="1:9" x14ac:dyDescent="0.3">
      <c r="A69" t="s">
        <v>48</v>
      </c>
      <c r="B69">
        <v>0</v>
      </c>
      <c r="C69" t="e">
        <v>#N/A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ht="16.2" thickBot="1" x14ac:dyDescent="0.35">
      <c r="A70" s="45" t="s">
        <v>49</v>
      </c>
      <c r="B70" s="45">
        <v>2.514350762881856E-3</v>
      </c>
      <c r="C70" s="45">
        <v>3.5261998266373926E-4</v>
      </c>
      <c r="D70" s="45">
        <v>7.1304829178655975</v>
      </c>
      <c r="E70" s="45">
        <v>5.6778990609576965E-3</v>
      </c>
      <c r="F70" s="45">
        <v>1.3921566018844334E-3</v>
      </c>
      <c r="G70" s="45">
        <v>3.6365449238792789E-3</v>
      </c>
      <c r="H70" s="45">
        <v>1.3921566018844334E-3</v>
      </c>
      <c r="I70" s="45">
        <v>3.6365449238792789E-3</v>
      </c>
    </row>
    <row r="71" spans="1:9" x14ac:dyDescent="0.3">
      <c r="B71"/>
    </row>
    <row r="72" spans="1:9" x14ac:dyDescent="0.3">
      <c r="B72"/>
    </row>
    <row r="73" spans="1:9" x14ac:dyDescent="0.3">
      <c r="B73"/>
    </row>
    <row r="74" spans="1:9" x14ac:dyDescent="0.3">
      <c r="A74" t="s">
        <v>50</v>
      </c>
      <c r="B74"/>
    </row>
    <row r="75" spans="1:9" ht="16.2" thickBot="1" x14ac:dyDescent="0.35">
      <c r="B75"/>
    </row>
    <row r="76" spans="1:9" x14ac:dyDescent="0.3">
      <c r="A76" s="46" t="s">
        <v>51</v>
      </c>
      <c r="B76" s="46" t="s">
        <v>52</v>
      </c>
      <c r="C76" s="46" t="s">
        <v>31</v>
      </c>
    </row>
    <row r="77" spans="1:9" ht="16.2" thickBot="1" x14ac:dyDescent="0.35">
      <c r="A77" s="45">
        <v>1</v>
      </c>
      <c r="B77" s="45">
        <v>2.4432361106281768E-2</v>
      </c>
      <c r="C77" s="45">
        <v>1.7679593381209821E-3</v>
      </c>
    </row>
  </sheetData>
  <mergeCells count="2">
    <mergeCell ref="C2:F2"/>
    <mergeCell ref="L2:O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4C47-FFB2-4B70-8FE2-465B9473430D}">
  <dimension ref="Q4:T10"/>
  <sheetViews>
    <sheetView tabSelected="1" zoomScale="70" zoomScaleNormal="70" workbookViewId="0">
      <selection activeCell="S19" sqref="S19"/>
    </sheetView>
  </sheetViews>
  <sheetFormatPr defaultRowHeight="15.6" x14ac:dyDescent="0.3"/>
  <cols>
    <col min="17" max="17" width="18.09765625" style="1" bestFit="1" customWidth="1"/>
    <col min="18" max="18" width="30" style="1" bestFit="1" customWidth="1"/>
    <col min="19" max="20" width="31" style="1" bestFit="1" customWidth="1"/>
  </cols>
  <sheetData>
    <row r="4" spans="17:20" x14ac:dyDescent="0.3">
      <c r="Q4" s="1" t="s">
        <v>61</v>
      </c>
      <c r="R4" s="1" t="s">
        <v>62</v>
      </c>
      <c r="S4" s="1" t="s">
        <v>5</v>
      </c>
      <c r="T4" s="1" t="s">
        <v>6</v>
      </c>
    </row>
    <row r="5" spans="17:20" x14ac:dyDescent="0.3">
      <c r="Q5" s="1" t="s">
        <v>63</v>
      </c>
      <c r="R5" s="1">
        <v>15147.721441761107</v>
      </c>
      <c r="S5" s="1">
        <v>16600.115804208392</v>
      </c>
      <c r="T5" s="1">
        <v>41798.488083467069</v>
      </c>
    </row>
    <row r="6" spans="17:20" x14ac:dyDescent="0.3">
      <c r="Q6" s="1" t="s">
        <v>64</v>
      </c>
      <c r="R6" s="1" t="s">
        <v>65</v>
      </c>
      <c r="S6" s="1" t="s">
        <v>66</v>
      </c>
      <c r="T6" s="1" t="s">
        <v>67</v>
      </c>
    </row>
    <row r="7" spans="17:20" x14ac:dyDescent="0.3">
      <c r="Q7" s="1" t="s">
        <v>68</v>
      </c>
      <c r="R7" s="1">
        <v>1.7600000000000001E-2</v>
      </c>
      <c r="S7" s="1">
        <v>2.75E-2</v>
      </c>
      <c r="T7" s="1">
        <v>3.2599999999999997E-2</v>
      </c>
    </row>
    <row r="8" spans="17:20" x14ac:dyDescent="0.3">
      <c r="Q8" s="1" t="s">
        <v>69</v>
      </c>
      <c r="R8" s="1" t="s">
        <v>70</v>
      </c>
      <c r="S8" s="1" t="s">
        <v>71</v>
      </c>
      <c r="T8" s="1" t="s">
        <v>72</v>
      </c>
    </row>
    <row r="9" spans="17:20" x14ac:dyDescent="0.3">
      <c r="Q9" s="1" t="s">
        <v>73</v>
      </c>
      <c r="R9" s="1" t="s">
        <v>74</v>
      </c>
      <c r="S9" s="1" t="s">
        <v>75</v>
      </c>
      <c r="T9" s="1" t="s">
        <v>76</v>
      </c>
    </row>
    <row r="10" spans="17:20" x14ac:dyDescent="0.3">
      <c r="Q10" s="1" t="s">
        <v>77</v>
      </c>
      <c r="R10" s="1">
        <v>0.8851</v>
      </c>
      <c r="S10" s="1">
        <v>0.95389999999999997</v>
      </c>
      <c r="T10" s="1">
        <v>0.98960000000000004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4</vt:i4>
      </vt:variant>
    </vt:vector>
  </HeadingPairs>
  <TitlesOfParts>
    <vt:vector size="10" baseType="lpstr">
      <vt:lpstr>Czech Republic</vt:lpstr>
      <vt:lpstr>Taiwan</vt:lpstr>
      <vt:lpstr>Singapore</vt:lpstr>
      <vt:lpstr>Taiwan_54years v.s Rezidu</vt:lpstr>
      <vt:lpstr>Convergence_4</vt:lpstr>
      <vt:lpstr>SS_3</vt:lpstr>
      <vt:lpstr>'Czech Republic'!Print_Titles</vt:lpstr>
      <vt:lpstr>Singapore!Print_Titles</vt:lpstr>
      <vt:lpstr>Taiwan!Print_Titles</vt:lpstr>
      <vt:lpstr>'Taiwan_54years v.s Rezidu'!Print_Titles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Shuli Chen</dc:creator>
  <cp:lastModifiedBy>Shuli Chen</cp:lastModifiedBy>
  <cp:lastPrinted>2025-12-07T19:10:21Z</cp:lastPrinted>
  <dcterms:created xsi:type="dcterms:W3CDTF">2025-10-30T13:42:10Z</dcterms:created>
  <dcterms:modified xsi:type="dcterms:W3CDTF">2025-12-08T21:16:59Z</dcterms:modified>
</cp:coreProperties>
</file>