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 1st sememstr\Modelování v ekonomii a managementu\"/>
    </mc:Choice>
  </mc:AlternateContent>
  <xr:revisionPtr revIDLastSave="0" documentId="13_ncr:1_{42DBD40A-33C0-4140-AF5E-2C3C1AA4155C}" xr6:coauthVersionLast="47" xr6:coauthVersionMax="47" xr10:uidLastSave="{00000000-0000-0000-0000-000000000000}"/>
  <bookViews>
    <workbookView xWindow="-108" yWindow="-108" windowWidth="23256" windowHeight="12576" tabRatio="702" firstSheet="1" activeTab="1" xr2:uid="{2FDC9410-C235-47C4-8591-D9EFA7E46988}"/>
  </bookViews>
  <sheets>
    <sheet name="工作表1" sheetId="1" r:id="rId1"/>
    <sheet name="Brombory Rýže" sheetId="9" r:id="rId2"/>
    <sheet name="nový rozpočet" sheetId="11" r:id="rId3"/>
    <sheet name="e" sheetId="12" r:id="rId4"/>
    <sheet name="změna ceny -B" sheetId="13" r:id="rId5"/>
    <sheet name="změna ceny-B-ePD" sheetId="14" r:id="rId6"/>
    <sheet name="CENOVÁ ELASTICITA" sheetId="15" r:id="rId7"/>
    <sheet name="KŘÍŽOVÝ EFEKT" sheetId="1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12" l="1"/>
  <c r="C7" i="14"/>
  <c r="F6" i="16"/>
  <c r="F7" i="16"/>
  <c r="F8" i="16"/>
  <c r="F9" i="16"/>
  <c r="F10" i="16"/>
  <c r="F11" i="16"/>
  <c r="F12" i="16"/>
  <c r="F13" i="16"/>
  <c r="F5" i="16"/>
  <c r="D7" i="15"/>
  <c r="D6" i="13"/>
  <c r="D7" i="13"/>
  <c r="D6" i="15"/>
  <c r="D8" i="15"/>
  <c r="D9" i="15"/>
  <c r="D10" i="15"/>
  <c r="D11" i="15"/>
  <c r="D12" i="15"/>
  <c r="D13" i="15"/>
  <c r="D5" i="15"/>
  <c r="B5" i="14"/>
  <c r="M2" i="13"/>
  <c r="P2" i="13"/>
  <c r="D18" i="11"/>
  <c r="F6" i="12"/>
  <c r="E14" i="11"/>
  <c r="E15" i="11" s="1"/>
  <c r="D14" i="11"/>
  <c r="D15" i="11" s="1"/>
  <c r="P3" i="11" s="1"/>
  <c r="C14" i="11"/>
  <c r="C15" i="11" s="1"/>
  <c r="B14" i="11"/>
  <c r="B15" i="11" s="1"/>
  <c r="M3" i="11" s="1"/>
  <c r="F13" i="11"/>
  <c r="H13" i="11" s="1"/>
  <c r="H12" i="11"/>
  <c r="F12" i="11"/>
  <c r="G12" i="11" s="1"/>
  <c r="H11" i="11"/>
  <c r="G11" i="11"/>
  <c r="F11" i="11"/>
  <c r="F10" i="11"/>
  <c r="H10" i="11" s="1"/>
  <c r="F9" i="11"/>
  <c r="H9" i="11" s="1"/>
  <c r="H8" i="11"/>
  <c r="F8" i="11"/>
  <c r="G8" i="11" s="1"/>
  <c r="H7" i="11"/>
  <c r="G7" i="11"/>
  <c r="F7" i="11"/>
  <c r="F6" i="11"/>
  <c r="H6" i="11" s="1"/>
  <c r="F5" i="11"/>
  <c r="H5" i="11" s="1"/>
  <c r="H4" i="11"/>
  <c r="H14" i="11" s="1"/>
  <c r="H15" i="11" s="1"/>
  <c r="F4" i="11"/>
  <c r="F14" i="11" s="1"/>
  <c r="K3" i="11" s="1"/>
  <c r="K3" i="9"/>
  <c r="D14" i="9"/>
  <c r="D15" i="9" s="1"/>
  <c r="B14" i="9"/>
  <c r="B15" i="9" s="1"/>
  <c r="C14" i="9"/>
  <c r="C15" i="9" s="1"/>
  <c r="F10" i="9"/>
  <c r="H10" i="9" s="1"/>
  <c r="F9" i="9"/>
  <c r="H9" i="9" s="1"/>
  <c r="F8" i="9"/>
  <c r="H8" i="9" s="1"/>
  <c r="F7" i="9"/>
  <c r="G7" i="9" s="1"/>
  <c r="F6" i="9"/>
  <c r="H6" i="9" s="1"/>
  <c r="E14" i="9"/>
  <c r="E15" i="9" s="1"/>
  <c r="F13" i="9"/>
  <c r="G13" i="9" s="1"/>
  <c r="F12" i="9"/>
  <c r="G12" i="9" s="1"/>
  <c r="F11" i="9"/>
  <c r="H11" i="9" s="1"/>
  <c r="F5" i="9"/>
  <c r="H5" i="9" s="1"/>
  <c r="F4" i="9"/>
  <c r="H4" i="9" s="1"/>
  <c r="K2" i="13" l="1"/>
  <c r="F18" i="11"/>
  <c r="Q2" i="11"/>
  <c r="G6" i="11"/>
  <c r="G10" i="11"/>
  <c r="G5" i="11"/>
  <c r="G9" i="11"/>
  <c r="G13" i="11"/>
  <c r="G4" i="11"/>
  <c r="G14" i="11" s="1"/>
  <c r="G15" i="11" s="1"/>
  <c r="H7" i="9"/>
  <c r="P3" i="9"/>
  <c r="M3" i="9"/>
  <c r="H12" i="9"/>
  <c r="G6" i="9"/>
  <c r="G9" i="9"/>
  <c r="G8" i="9"/>
  <c r="F14" i="9"/>
  <c r="H13" i="9"/>
  <c r="G10" i="9"/>
  <c r="G11" i="9"/>
  <c r="G5" i="9"/>
  <c r="G4" i="9"/>
  <c r="F6" i="13" l="1"/>
  <c r="N2" i="11"/>
  <c r="D19" i="11"/>
  <c r="F15" i="9"/>
  <c r="H14" i="9"/>
  <c r="H15" i="9" s="1"/>
  <c r="F18" i="9" s="1"/>
  <c r="Q2" i="9"/>
  <c r="G14" i="9"/>
  <c r="G15" i="9" s="1"/>
  <c r="Q1" i="13" l="1"/>
  <c r="N1" i="13"/>
  <c r="N2" i="9"/>
  <c r="D18" i="9"/>
  <c r="D19" i="9" s="1"/>
  <c r="C5" i="14" l="1"/>
</calcChain>
</file>

<file path=xl/sharedStrings.xml><?xml version="1.0" encoding="utf-8"?>
<sst xmlns="http://schemas.openxmlformats.org/spreadsheetml/2006/main" count="148" uniqueCount="51">
  <si>
    <t>年份</t>
  </si>
  <si>
    <t>PX​ (乳酪 USD/kg)</t>
  </si>
  <si>
    <t>QX​ (乳酪 Mil kg)</t>
  </si>
  <si>
    <t>PY​ (牛奶 USD/kg)</t>
  </si>
  <si>
    <t>QY​ (牛奶 Mil kg)</t>
  </si>
  <si>
    <t>PZ​ (優格 USD/kg)</t>
  </si>
  <si>
    <t>QZ​ (優格 Mil kg)</t>
  </si>
  <si>
    <t>suma</t>
  </si>
  <si>
    <t>průměr</t>
  </si>
  <si>
    <t>U* =</t>
  </si>
  <si>
    <t>Užitek v optimu:</t>
  </si>
  <si>
    <t>y* =</t>
  </si>
  <si>
    <t>x* =</t>
  </si>
  <si>
    <t>Marshallovské poptávky:</t>
  </si>
  <si>
    <t>Lagrangeova funkce</t>
  </si>
  <si>
    <t>Užitková funkce</t>
  </si>
  <si>
    <t>Rozpočtové omezení</t>
  </si>
  <si>
    <t>1 - α</t>
  </si>
  <si>
    <t>α</t>
  </si>
  <si>
    <t>(I)</t>
  </si>
  <si>
    <t>spotřeba (y)</t>
  </si>
  <si>
    <r>
      <t>cena (p</t>
    </r>
    <r>
      <rPr>
        <b/>
        <vertAlign val="subscript"/>
        <sz val="12"/>
        <rFont val="Aptos Narrow"/>
        <family val="2"/>
        <charset val="238"/>
        <scheme val="minor"/>
      </rPr>
      <t>y</t>
    </r>
    <r>
      <rPr>
        <b/>
        <sz val="12"/>
        <rFont val="Aptos Narrow"/>
        <family val="2"/>
        <charset val="238"/>
        <scheme val="minor"/>
      </rPr>
      <t>)</t>
    </r>
  </si>
  <si>
    <t>spotřeba (x)</t>
  </si>
  <si>
    <r>
      <t>cena (p</t>
    </r>
    <r>
      <rPr>
        <b/>
        <vertAlign val="subscript"/>
        <sz val="12"/>
        <rFont val="Aptos Narrow"/>
        <family val="2"/>
        <charset val="238"/>
        <scheme val="minor"/>
      </rPr>
      <t>x</t>
    </r>
    <r>
      <rPr>
        <b/>
        <sz val="12"/>
        <rFont val="Aptos Narrow"/>
        <family val="2"/>
        <charset val="238"/>
        <scheme val="minor"/>
      </rPr>
      <t>)</t>
    </r>
  </si>
  <si>
    <t>rozpočet</t>
  </si>
  <si>
    <t>Rok</t>
  </si>
  <si>
    <t>Odhad parametrů Cobb-Douglasovy užitkové funkce z datového souboru</t>
  </si>
  <si>
    <t>=</t>
  </si>
  <si>
    <t>x</t>
  </si>
  <si>
    <t>+</t>
  </si>
  <si>
    <t>y</t>
  </si>
  <si>
    <t xml:space="preserve">U(x,y) </t>
  </si>
  <si>
    <t>*</t>
  </si>
  <si>
    <r>
      <t>S</t>
    </r>
    <r>
      <rPr>
        <vertAlign val="subscript"/>
        <sz val="12"/>
        <rFont val="Aptos Narrow"/>
        <family val="2"/>
        <charset val="238"/>
        <scheme val="minor"/>
      </rPr>
      <t>1</t>
    </r>
  </si>
  <si>
    <r>
      <t>S</t>
    </r>
    <r>
      <rPr>
        <vertAlign val="subscript"/>
        <sz val="12"/>
        <rFont val="Aptos Narrow"/>
        <family val="2"/>
        <charset val="238"/>
        <scheme val="minor"/>
      </rPr>
      <t>2</t>
    </r>
  </si>
  <si>
    <t>Z</t>
  </si>
  <si>
    <t>L(x, y, λ)</t>
  </si>
  <si>
    <r>
      <t>x</t>
    </r>
    <r>
      <rPr>
        <vertAlign val="superscript"/>
        <sz val="14"/>
        <color theme="1"/>
        <rFont val="Aptos Narrow"/>
        <family val="2"/>
        <scheme val="minor"/>
      </rPr>
      <t>0.77</t>
    </r>
    <r>
      <rPr>
        <sz val="14"/>
        <color theme="1"/>
        <rFont val="Aptos Narrow"/>
        <family val="2"/>
        <scheme val="minor"/>
      </rPr>
      <t>* y</t>
    </r>
    <r>
      <rPr>
        <vertAlign val="superscript"/>
        <sz val="14"/>
        <color theme="1"/>
        <rFont val="Aptos Narrow"/>
        <family val="2"/>
        <scheme val="minor"/>
      </rPr>
      <t>0.23</t>
    </r>
    <r>
      <rPr>
        <sz val="14"/>
        <color theme="1"/>
        <rFont val="Aptos Narrow"/>
        <family val="2"/>
        <scheme val="minor"/>
      </rPr>
      <t>+ λ (1025.08 - 11.59x - 43.06y)</t>
    </r>
  </si>
  <si>
    <t>Brambory CZK/kg</t>
  </si>
  <si>
    <t>Rýže CZK/kg</t>
  </si>
  <si>
    <t>nový rozpočet</t>
  </si>
  <si>
    <r>
      <t>x</t>
    </r>
    <r>
      <rPr>
        <vertAlign val="superscript"/>
        <sz val="14"/>
        <color theme="1"/>
        <rFont val="Aptos Narrow"/>
        <family val="2"/>
        <scheme val="minor"/>
      </rPr>
      <t>0.77</t>
    </r>
    <r>
      <rPr>
        <sz val="14"/>
        <color theme="1"/>
        <rFont val="Aptos Narrow"/>
        <family val="2"/>
        <scheme val="minor"/>
      </rPr>
      <t>* y</t>
    </r>
    <r>
      <rPr>
        <vertAlign val="superscript"/>
        <sz val="14"/>
        <color theme="1"/>
        <rFont val="Aptos Narrow"/>
        <family val="2"/>
        <scheme val="minor"/>
      </rPr>
      <t>0.23</t>
    </r>
    <r>
      <rPr>
        <sz val="14"/>
        <color theme="1"/>
        <rFont val="Aptos Narrow"/>
        <family val="2"/>
        <scheme val="minor"/>
      </rPr>
      <t>+ λ (770 - 11.59x - 43.06y)</t>
    </r>
  </si>
  <si>
    <t xml:space="preserve"> nominální mzdy</t>
  </si>
  <si>
    <t>E brombory</t>
  </si>
  <si>
    <t>E rýže</t>
  </si>
  <si>
    <t>x1</t>
  </si>
  <si>
    <t>x2</t>
  </si>
  <si>
    <t>ePD brombory</t>
  </si>
  <si>
    <r>
      <t>x</t>
    </r>
    <r>
      <rPr>
        <vertAlign val="superscript"/>
        <sz val="14"/>
        <color theme="1"/>
        <rFont val="Aptos Narrow"/>
        <family val="2"/>
        <scheme val="minor"/>
      </rPr>
      <t>0.77</t>
    </r>
    <r>
      <rPr>
        <sz val="14"/>
        <color theme="1"/>
        <rFont val="Aptos Narrow"/>
        <family val="2"/>
        <scheme val="minor"/>
      </rPr>
      <t>* y</t>
    </r>
    <r>
      <rPr>
        <vertAlign val="superscript"/>
        <sz val="14"/>
        <color theme="1"/>
        <rFont val="Aptos Narrow"/>
        <family val="2"/>
        <scheme val="minor"/>
      </rPr>
      <t>0.23</t>
    </r>
    <r>
      <rPr>
        <sz val="14"/>
        <color theme="1"/>
        <rFont val="Aptos Narrow"/>
        <family val="2"/>
        <scheme val="minor"/>
      </rPr>
      <t>+ λ (1025.08 - 8x - 43.06y)</t>
    </r>
  </si>
  <si>
    <t>CENOVÁ ELASTICITA</t>
  </si>
  <si>
    <t>DŮCHODOVÁ ELASTICITA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</si>
</sst>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25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charset val="238"/>
      <scheme val="minor"/>
    </font>
    <font>
      <b/>
      <sz val="12"/>
      <color rgb="FFFF0000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2"/>
      <color theme="1"/>
      <name val="Aptos Narrow"/>
      <family val="2"/>
      <charset val="238"/>
      <scheme val="minor"/>
    </font>
    <font>
      <sz val="12"/>
      <name val="Aptos Narrow"/>
      <family val="2"/>
      <charset val="238"/>
      <scheme val="minor"/>
    </font>
    <font>
      <sz val="13"/>
      <name val="Aptos Narrow"/>
      <family val="2"/>
      <charset val="238"/>
      <scheme val="minor"/>
    </font>
    <font>
      <b/>
      <sz val="13"/>
      <name val="Aptos Narrow"/>
      <family val="2"/>
      <charset val="238"/>
      <scheme val="minor"/>
    </font>
    <font>
      <b/>
      <sz val="12"/>
      <name val="Aptos Narrow"/>
      <family val="2"/>
      <charset val="238"/>
      <scheme val="minor"/>
    </font>
    <font>
      <b/>
      <vertAlign val="subscript"/>
      <sz val="12"/>
      <name val="Aptos Narrow"/>
      <family val="2"/>
      <charset val="238"/>
      <scheme val="minor"/>
    </font>
    <font>
      <b/>
      <sz val="14"/>
      <color theme="1"/>
      <name val="Aptos Narrow"/>
      <family val="2"/>
      <charset val="238"/>
      <scheme val="minor"/>
    </font>
    <font>
      <sz val="11"/>
      <color indexed="8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bscript"/>
      <sz val="12"/>
      <name val="Aptos Narrow"/>
      <family val="2"/>
      <charset val="238"/>
      <scheme val="minor"/>
    </font>
    <font>
      <sz val="12"/>
      <name val="Calibri"/>
      <family val="2"/>
      <charset val="238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0"/>
      <color theme="1"/>
      <name val="Aptos Narrow"/>
      <family val="2"/>
      <scheme val="minor"/>
    </font>
    <font>
      <vertAlign val="superscript"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sz val="16"/>
      <color rgb="FFFF0000"/>
      <name val="Aptos Narrow"/>
      <family val="2"/>
      <scheme val="minor"/>
    </font>
    <font>
      <b/>
      <sz val="16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12" fillId="0" borderId="0"/>
  </cellStyleXfs>
  <cellXfs count="120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2" fontId="0" fillId="0" borderId="0" xfId="0" applyNumberFormat="1"/>
    <xf numFmtId="0" fontId="3" fillId="6" borderId="3" xfId="0" applyFont="1" applyFill="1" applyBorder="1" applyAlignment="1">
      <alignment horizontal="center"/>
    </xf>
    <xf numFmtId="0" fontId="4" fillId="0" borderId="0" xfId="1"/>
    <xf numFmtId="0" fontId="5" fillId="0" borderId="0" xfId="1" applyFont="1"/>
    <xf numFmtId="0" fontId="6" fillId="0" borderId="0" xfId="1" applyFont="1"/>
    <xf numFmtId="0" fontId="6" fillId="0" borderId="5" xfId="1" applyFont="1" applyBorder="1" applyAlignment="1">
      <alignment horizontal="right"/>
    </xf>
    <xf numFmtId="0" fontId="7" fillId="0" borderId="6" xfId="1" applyFont="1" applyBorder="1"/>
    <xf numFmtId="0" fontId="8" fillId="0" borderId="5" xfId="1" applyFont="1" applyBorder="1" applyAlignment="1">
      <alignment horizontal="left"/>
    </xf>
    <xf numFmtId="0" fontId="6" fillId="0" borderId="6" xfId="1" applyFont="1" applyBorder="1" applyAlignment="1">
      <alignment horizontal="right"/>
    </xf>
    <xf numFmtId="0" fontId="8" fillId="0" borderId="5" xfId="1" applyFont="1" applyBorder="1"/>
    <xf numFmtId="164" fontId="3" fillId="0" borderId="0" xfId="1" applyNumberFormat="1" applyFont="1"/>
    <xf numFmtId="2" fontId="3" fillId="0" borderId="0" xfId="1" applyNumberFormat="1" applyFont="1"/>
    <xf numFmtId="0" fontId="3" fillId="0" borderId="0" xfId="1" applyFont="1"/>
    <xf numFmtId="164" fontId="3" fillId="7" borderId="7" xfId="1" applyNumberFormat="1" applyFont="1" applyFill="1" applyBorder="1"/>
    <xf numFmtId="0" fontId="3" fillId="6" borderId="3" xfId="1" applyFont="1" applyFill="1" applyBorder="1" applyAlignment="1">
      <alignment horizontal="center"/>
    </xf>
    <xf numFmtId="164" fontId="5" fillId="7" borderId="15" xfId="1" applyNumberFormat="1" applyFont="1" applyFill="1" applyBorder="1"/>
    <xf numFmtId="0" fontId="5" fillId="0" borderId="17" xfId="1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2" borderId="27" xfId="1" applyFont="1" applyFill="1" applyBorder="1" applyAlignment="1">
      <alignment horizontal="center"/>
    </xf>
    <xf numFmtId="0" fontId="11" fillId="0" borderId="0" xfId="1" applyFont="1" applyAlignment="1">
      <alignment vertical="center"/>
    </xf>
    <xf numFmtId="0" fontId="9" fillId="3" borderId="21" xfId="1" applyFont="1" applyFill="1" applyBorder="1" applyAlignment="1">
      <alignment horizontal="center"/>
    </xf>
    <xf numFmtId="0" fontId="9" fillId="3" borderId="24" xfId="1" applyFont="1" applyFill="1" applyBorder="1" applyAlignment="1">
      <alignment horizontal="center"/>
    </xf>
    <xf numFmtId="0" fontId="6" fillId="3" borderId="16" xfId="1" applyFont="1" applyFill="1" applyBorder="1"/>
    <xf numFmtId="0" fontId="6" fillId="3" borderId="0" xfId="1" applyFont="1" applyFill="1"/>
    <xf numFmtId="2" fontId="3" fillId="3" borderId="8" xfId="1" applyNumberFormat="1" applyFont="1" applyFill="1" applyBorder="1"/>
    <xf numFmtId="2" fontId="3" fillId="3" borderId="10" xfId="1" applyNumberFormat="1" applyFont="1" applyFill="1" applyBorder="1"/>
    <xf numFmtId="0" fontId="9" fillId="4" borderId="23" xfId="1" applyFont="1" applyFill="1" applyBorder="1" applyAlignment="1">
      <alignment horizontal="center"/>
    </xf>
    <xf numFmtId="0" fontId="9" fillId="4" borderId="20" xfId="1" applyFont="1" applyFill="1" applyBorder="1" applyAlignment="1">
      <alignment horizontal="center"/>
    </xf>
    <xf numFmtId="2" fontId="3" fillId="4" borderId="9" xfId="1" applyNumberFormat="1" applyFont="1" applyFill="1" applyBorder="1"/>
    <xf numFmtId="2" fontId="3" fillId="4" borderId="7" xfId="1" applyNumberFormat="1" applyFont="1" applyFill="1" applyBorder="1"/>
    <xf numFmtId="0" fontId="2" fillId="7" borderId="27" xfId="1" applyFont="1" applyFill="1" applyBorder="1" applyAlignment="1">
      <alignment horizontal="center"/>
    </xf>
    <xf numFmtId="0" fontId="2" fillId="7" borderId="22" xfId="1" applyFont="1" applyFill="1" applyBorder="1" applyAlignment="1">
      <alignment horizontal="center"/>
    </xf>
    <xf numFmtId="164" fontId="5" fillId="7" borderId="16" xfId="1" applyNumberFormat="1" applyFont="1" applyFill="1" applyBorder="1"/>
    <xf numFmtId="2" fontId="3" fillId="7" borderId="3" xfId="1" applyNumberFormat="1" applyFont="1" applyFill="1" applyBorder="1"/>
    <xf numFmtId="164" fontId="3" fillId="7" borderId="8" xfId="1" applyNumberFormat="1" applyFont="1" applyFill="1" applyBorder="1"/>
    <xf numFmtId="2" fontId="5" fillId="7" borderId="17" xfId="1" applyNumberFormat="1" applyFont="1" applyFill="1" applyBorder="1"/>
    <xf numFmtId="2" fontId="5" fillId="4" borderId="19" xfId="1" applyNumberFormat="1" applyFont="1" applyFill="1" applyBorder="1"/>
    <xf numFmtId="2" fontId="5" fillId="4" borderId="18" xfId="1" applyNumberFormat="1" applyFont="1" applyFill="1" applyBorder="1"/>
    <xf numFmtId="0" fontId="4" fillId="0" borderId="32" xfId="1" applyBorder="1"/>
    <xf numFmtId="0" fontId="4" fillId="0" borderId="33" xfId="1" applyBorder="1"/>
    <xf numFmtId="0" fontId="13" fillId="0" borderId="2" xfId="1" applyFont="1" applyBorder="1" applyAlignment="1">
      <alignment horizontal="center"/>
    </xf>
    <xf numFmtId="0" fontId="13" fillId="3" borderId="12" xfId="1" applyFont="1" applyFill="1" applyBorder="1"/>
    <xf numFmtId="0" fontId="13" fillId="3" borderId="14" xfId="1" applyFont="1" applyFill="1" applyBorder="1"/>
    <xf numFmtId="0" fontId="13" fillId="4" borderId="11" xfId="1" applyFont="1" applyFill="1" applyBorder="1"/>
    <xf numFmtId="2" fontId="13" fillId="7" borderId="2" xfId="1" applyNumberFormat="1" applyFont="1" applyFill="1" applyBorder="1"/>
    <xf numFmtId="164" fontId="13" fillId="7" borderId="12" xfId="1" applyNumberFormat="1" applyFont="1" applyFill="1" applyBorder="1"/>
    <xf numFmtId="164" fontId="13" fillId="7" borderId="11" xfId="1" applyNumberFormat="1" applyFont="1" applyFill="1" applyBorder="1"/>
    <xf numFmtId="0" fontId="6" fillId="7" borderId="26" xfId="1" applyFont="1" applyFill="1" applyBorder="1" applyAlignment="1">
      <alignment horizontal="center"/>
    </xf>
    <xf numFmtId="0" fontId="6" fillId="7" borderId="25" xfId="1" applyFont="1" applyFill="1" applyBorder="1" applyAlignment="1">
      <alignment horizontal="center"/>
    </xf>
    <xf numFmtId="0" fontId="15" fillId="7" borderId="21" xfId="1" applyFont="1" applyFill="1" applyBorder="1" applyAlignment="1">
      <alignment horizontal="center"/>
    </xf>
    <xf numFmtId="0" fontId="6" fillId="7" borderId="20" xfId="1" applyFont="1" applyFill="1" applyBorder="1" applyAlignment="1">
      <alignment horizontal="center"/>
    </xf>
    <xf numFmtId="2" fontId="13" fillId="4" borderId="13" xfId="1" applyNumberFormat="1" applyFont="1" applyFill="1" applyBorder="1"/>
    <xf numFmtId="2" fontId="6" fillId="0" borderId="4" xfId="1" applyNumberFormat="1" applyFont="1" applyBorder="1" applyAlignment="1">
      <alignment horizontal="left"/>
    </xf>
    <xf numFmtId="2" fontId="16" fillId="0" borderId="34" xfId="1" applyNumberFormat="1" applyFont="1" applyBorder="1"/>
    <xf numFmtId="0" fontId="16" fillId="0" borderId="35" xfId="0" quotePrefix="1" applyFont="1" applyBorder="1"/>
    <xf numFmtId="2" fontId="16" fillId="0" borderId="35" xfId="1" applyNumberFormat="1" applyFont="1" applyBorder="1"/>
    <xf numFmtId="0" fontId="16" fillId="0" borderId="35" xfId="1" applyFont="1" applyBorder="1"/>
    <xf numFmtId="0" fontId="16" fillId="0" borderId="35" xfId="1" quotePrefix="1" applyFont="1" applyBorder="1"/>
    <xf numFmtId="0" fontId="16" fillId="0" borderId="36" xfId="1" applyFont="1" applyBorder="1"/>
    <xf numFmtId="0" fontId="16" fillId="0" borderId="32" xfId="0" quotePrefix="1" applyFont="1" applyBorder="1"/>
    <xf numFmtId="0" fontId="4" fillId="0" borderId="0" xfId="1" applyAlignment="1">
      <alignment horizontal="center"/>
    </xf>
    <xf numFmtId="0" fontId="8" fillId="0" borderId="1" xfId="1" applyFont="1" applyBorder="1" applyAlignment="1">
      <alignment vertical="center"/>
    </xf>
    <xf numFmtId="0" fontId="16" fillId="0" borderId="31" xfId="1" applyFont="1" applyBorder="1" applyAlignment="1">
      <alignment horizontal="right"/>
    </xf>
    <xf numFmtId="0" fontId="16" fillId="0" borderId="32" xfId="1" applyFont="1" applyBorder="1"/>
    <xf numFmtId="0" fontId="16" fillId="0" borderId="33" xfId="1" applyFont="1" applyBorder="1"/>
    <xf numFmtId="0" fontId="18" fillId="0" borderId="34" xfId="1" applyFont="1" applyBorder="1" applyAlignment="1">
      <alignment horizontal="right"/>
    </xf>
    <xf numFmtId="0" fontId="17" fillId="0" borderId="35" xfId="1" applyFont="1" applyBorder="1" applyAlignment="1">
      <alignment horizontal="right"/>
    </xf>
    <xf numFmtId="0" fontId="16" fillId="0" borderId="35" xfId="1" quotePrefix="1" applyFont="1" applyBorder="1" applyAlignment="1">
      <alignment horizontal="center"/>
    </xf>
    <xf numFmtId="0" fontId="17" fillId="0" borderId="35" xfId="1" applyFont="1" applyBorder="1" applyAlignment="1">
      <alignment horizontal="center"/>
    </xf>
    <xf numFmtId="165" fontId="19" fillId="0" borderId="35" xfId="1" applyNumberFormat="1" applyFont="1" applyBorder="1" applyAlignment="1">
      <alignment horizontal="left" vertical="top"/>
    </xf>
    <xf numFmtId="164" fontId="19" fillId="0" borderId="36" xfId="1" applyNumberFormat="1" applyFont="1" applyBorder="1" applyAlignment="1">
      <alignment horizontal="left" vertical="top"/>
    </xf>
    <xf numFmtId="0" fontId="5" fillId="0" borderId="1" xfId="1" applyFont="1" applyBorder="1" applyAlignment="1">
      <alignment horizontal="center"/>
    </xf>
    <xf numFmtId="0" fontId="22" fillId="3" borderId="1" xfId="1" applyFont="1" applyFill="1" applyBorder="1"/>
    <xf numFmtId="2" fontId="21" fillId="4" borderId="1" xfId="1" applyNumberFormat="1" applyFont="1" applyFill="1" applyBorder="1"/>
    <xf numFmtId="0" fontId="22" fillId="3" borderId="1" xfId="1" applyFont="1" applyFill="1" applyBorder="1" applyAlignment="1">
      <alignment horizontal="center"/>
    </xf>
    <xf numFmtId="0" fontId="22" fillId="4" borderId="1" xfId="1" applyFont="1" applyFill="1" applyBorder="1" applyAlignment="1">
      <alignment horizontal="center"/>
    </xf>
    <xf numFmtId="0" fontId="5" fillId="0" borderId="0" xfId="1" applyFont="1" applyAlignment="1">
      <alignment horizontal="right"/>
    </xf>
    <xf numFmtId="164" fontId="21" fillId="0" borderId="0" xfId="1" applyNumberFormat="1" applyFont="1" applyAlignment="1">
      <alignment horizontal="right"/>
    </xf>
    <xf numFmtId="0" fontId="9" fillId="8" borderId="1" xfId="1" applyFont="1" applyFill="1" applyBorder="1" applyAlignment="1">
      <alignment horizontal="center"/>
    </xf>
    <xf numFmtId="0" fontId="22" fillId="8" borderId="1" xfId="1" applyFont="1" applyFill="1" applyBorder="1" applyAlignment="1">
      <alignment horizontal="center"/>
    </xf>
    <xf numFmtId="0" fontId="6" fillId="8" borderId="1" xfId="1" applyFont="1" applyFill="1" applyBorder="1"/>
    <xf numFmtId="0" fontId="22" fillId="8" borderId="1" xfId="1" applyFont="1" applyFill="1" applyBorder="1"/>
    <xf numFmtId="2" fontId="5" fillId="8" borderId="1" xfId="1" applyNumberFormat="1" applyFont="1" applyFill="1" applyBorder="1"/>
    <xf numFmtId="3" fontId="21" fillId="2" borderId="1" xfId="1" applyNumberFormat="1" applyFont="1" applyFill="1" applyBorder="1" applyAlignment="1">
      <alignment horizontal="center"/>
    </xf>
    <xf numFmtId="0" fontId="5" fillId="0" borderId="0" xfId="1" applyFont="1" applyAlignment="1">
      <alignment horizontal="center"/>
    </xf>
    <xf numFmtId="2" fontId="5" fillId="8" borderId="0" xfId="1" applyNumberFormat="1" applyFont="1" applyFill="1"/>
    <xf numFmtId="164" fontId="19" fillId="0" borderId="35" xfId="1" applyNumberFormat="1" applyFont="1" applyBorder="1" applyAlignment="1">
      <alignment horizontal="left" vertical="top"/>
    </xf>
    <xf numFmtId="0" fontId="9" fillId="3" borderId="28" xfId="1" applyFont="1" applyFill="1" applyBorder="1" applyAlignment="1">
      <alignment horizontal="center"/>
    </xf>
    <xf numFmtId="0" fontId="9" fillId="8" borderId="16" xfId="1" applyFont="1" applyFill="1" applyBorder="1" applyAlignment="1">
      <alignment horizontal="center"/>
    </xf>
    <xf numFmtId="0" fontId="9" fillId="8" borderId="37" xfId="1" applyFont="1" applyFill="1" applyBorder="1" applyAlignment="1">
      <alignment horizontal="center"/>
    </xf>
    <xf numFmtId="0" fontId="9" fillId="3" borderId="18" xfId="1" applyFont="1" applyFill="1" applyBorder="1" applyAlignment="1">
      <alignment horizontal="center" wrapText="1"/>
    </xf>
    <xf numFmtId="0" fontId="5" fillId="0" borderId="13" xfId="1" applyFont="1" applyBorder="1" applyAlignment="1">
      <alignment horizontal="center"/>
    </xf>
    <xf numFmtId="0" fontId="6" fillId="8" borderId="40" xfId="1" applyFont="1" applyFill="1" applyBorder="1"/>
    <xf numFmtId="0" fontId="5" fillId="3" borderId="11" xfId="1" applyFont="1" applyFill="1" applyBorder="1"/>
    <xf numFmtId="0" fontId="5" fillId="0" borderId="41" xfId="1" applyFont="1" applyBorder="1" applyAlignment="1">
      <alignment horizontal="center"/>
    </xf>
    <xf numFmtId="164" fontId="21" fillId="3" borderId="42" xfId="1" applyNumberFormat="1" applyFont="1" applyFill="1" applyBorder="1" applyAlignment="1">
      <alignment horizontal="right"/>
    </xf>
    <xf numFmtId="0" fontId="5" fillId="0" borderId="9" xfId="1" applyFont="1" applyBorder="1" applyAlignment="1">
      <alignment horizontal="center"/>
    </xf>
    <xf numFmtId="0" fontId="6" fillId="8" borderId="43" xfId="1" applyFont="1" applyFill="1" applyBorder="1"/>
    <xf numFmtId="164" fontId="21" fillId="3" borderId="7" xfId="1" applyNumberFormat="1" applyFont="1" applyFill="1" applyBorder="1" applyAlignment="1">
      <alignment horizontal="right"/>
    </xf>
    <xf numFmtId="2" fontId="21" fillId="8" borderId="42" xfId="1" applyNumberFormat="1" applyFont="1" applyFill="1" applyBorder="1" applyAlignment="1">
      <alignment horizontal="right"/>
    </xf>
    <xf numFmtId="0" fontId="2" fillId="0" borderId="27" xfId="1" applyFont="1" applyBorder="1" applyAlignment="1">
      <alignment horizontal="center" vertical="center"/>
    </xf>
    <xf numFmtId="0" fontId="2" fillId="0" borderId="22" xfId="1" applyFont="1" applyBorder="1" applyAlignment="1">
      <alignment horizontal="center" vertical="center"/>
    </xf>
    <xf numFmtId="0" fontId="9" fillId="3" borderId="30" xfId="1" applyFont="1" applyFill="1" applyBorder="1" applyAlignment="1">
      <alignment horizontal="center"/>
    </xf>
    <xf numFmtId="0" fontId="2" fillId="4" borderId="29" xfId="1" applyFont="1" applyFill="1" applyBorder="1" applyAlignment="1">
      <alignment horizontal="center"/>
    </xf>
    <xf numFmtId="0" fontId="2" fillId="4" borderId="28" xfId="1" applyFont="1" applyFill="1" applyBorder="1" applyAlignment="1">
      <alignment horizontal="center"/>
    </xf>
    <xf numFmtId="0" fontId="2" fillId="0" borderId="1" xfId="1" applyFont="1" applyBorder="1" applyAlignment="1">
      <alignment horizontal="center" vertical="center"/>
    </xf>
    <xf numFmtId="0" fontId="9" fillId="3" borderId="1" xfId="1" applyFont="1" applyFill="1" applyBorder="1" applyAlignment="1">
      <alignment horizontal="center"/>
    </xf>
    <xf numFmtId="0" fontId="2" fillId="4" borderId="1" xfId="1" applyFont="1" applyFill="1" applyBorder="1" applyAlignment="1">
      <alignment horizontal="center"/>
    </xf>
    <xf numFmtId="0" fontId="2" fillId="2" borderId="38" xfId="1" applyFont="1" applyFill="1" applyBorder="1" applyAlignment="1">
      <alignment horizontal="center" vertical="center" wrapText="1"/>
    </xf>
    <xf numFmtId="0" fontId="2" fillId="2" borderId="39" xfId="1" applyFont="1" applyFill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/>
    </xf>
    <xf numFmtId="0" fontId="2" fillId="0" borderId="17" xfId="1" applyFont="1" applyBorder="1" applyAlignment="1">
      <alignment horizontal="center" vertical="center"/>
    </xf>
    <xf numFmtId="0" fontId="23" fillId="0" borderId="1" xfId="1" applyFont="1" applyBorder="1"/>
    <xf numFmtId="0" fontId="23" fillId="0" borderId="1" xfId="1" applyFont="1" applyBorder="1" applyAlignment="1">
      <alignment horizontal="right"/>
    </xf>
    <xf numFmtId="164" fontId="24" fillId="0" borderId="1" xfId="1" applyNumberFormat="1" applyFont="1" applyBorder="1" applyAlignment="1">
      <alignment horizontal="right"/>
    </xf>
  </cellXfs>
  <cellStyles count="3">
    <cellStyle name="一般" xfId="0" builtinId="0"/>
    <cellStyle name="一般 2" xfId="1" xr:uid="{D48F5BB6-9045-4A12-82D8-B80EFC0C3F47}"/>
    <cellStyle name="一般 3" xfId="2" xr:uid="{353AB6B1-EBF4-4A19-916F-31130923B7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/>
              <a:t>CENOVÁ ELASTICITA</a:t>
            </a:r>
            <a:br>
              <a:rPr lang="en-GB" sz="1400"/>
            </a:br>
            <a:r>
              <a:rPr lang="en-GB" sz="1400"/>
              <a:t>Brambory</a:t>
            </a:r>
            <a:endParaRPr lang="zh-TW" sz="1400"/>
          </a:p>
        </c:rich>
      </c:tx>
      <c:layout>
        <c:manualLayout>
          <c:xMode val="edge"/>
          <c:yMode val="edge"/>
          <c:x val="0.31899300087489063"/>
          <c:y val="5.09259259259259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'CENOVÁ ELASTICITA'!$A$4:$A$13</c:f>
              <c:numCache>
                <c:formatCode>General</c:formatCode>
                <c:ptCount val="10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</c:numCache>
            </c:numRef>
          </c:xVal>
          <c:yVal>
            <c:numRef>
              <c:f>'CENOVÁ ELASTICITA'!$D$4:$D$13</c:f>
              <c:numCache>
                <c:formatCode>0.0000</c:formatCode>
                <c:ptCount val="10"/>
                <c:pt idx="1">
                  <c:v>-0.31313131313131465</c:v>
                </c:pt>
                <c:pt idx="2">
                  <c:v>3.8385638805779783E-2</c:v>
                </c:pt>
                <c:pt idx="3">
                  <c:v>0.12347574221578532</c:v>
                </c:pt>
                <c:pt idx="4">
                  <c:v>3.14809384164221</c:v>
                </c:pt>
                <c:pt idx="5">
                  <c:v>-0.64106351550960117</c:v>
                </c:pt>
                <c:pt idx="6">
                  <c:v>-0.30959302325581034</c:v>
                </c:pt>
                <c:pt idx="7">
                  <c:v>-5.118523180197173E-2</c:v>
                </c:pt>
                <c:pt idx="8">
                  <c:v>0.52290712203248479</c:v>
                </c:pt>
                <c:pt idx="9">
                  <c:v>1.1359583952451713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B4A-4F18-A642-FB2B47A5D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67312"/>
        <c:axId val="1227257232"/>
      </c:scatterChart>
      <c:valAx>
        <c:axId val="1227267312"/>
        <c:scaling>
          <c:orientation val="minMax"/>
          <c:max val="2021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57232"/>
        <c:crosses val="autoZero"/>
        <c:crossBetween val="midCat"/>
      </c:valAx>
      <c:valAx>
        <c:axId val="122725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67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altLang="zh-TW"/>
              <a:t>KŘÍŽOVÝ EFEKT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'KŘÍŽOVÝ EFEKT'!$A$5:$A$13</c:f>
              <c:numCache>
                <c:formatCode>General</c:formatCode>
                <c:ptCount val="9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</c:numCache>
            </c:numRef>
          </c:xVal>
          <c:yVal>
            <c:numRef>
              <c:f>'KŘÍŽOVÝ EFEKT'!$F$5:$F$13</c:f>
              <c:numCache>
                <c:formatCode>0.00</c:formatCode>
                <c:ptCount val="9"/>
                <c:pt idx="0">
                  <c:v>-1.367003367003369</c:v>
                </c:pt>
                <c:pt idx="1">
                  <c:v>-0.90263543191800333</c:v>
                </c:pt>
                <c:pt idx="2">
                  <c:v>2.527299058653143</c:v>
                </c:pt>
                <c:pt idx="3">
                  <c:v>-2.939149560117285</c:v>
                </c:pt>
                <c:pt idx="4">
                  <c:v>3.544460856720824</c:v>
                </c:pt>
                <c:pt idx="5">
                  <c:v>-0.4742005813953461</c:v>
                </c:pt>
                <c:pt idx="6">
                  <c:v>-0.65051395007341561</c:v>
                </c:pt>
                <c:pt idx="7">
                  <c:v>1.0793798038696036</c:v>
                </c:pt>
                <c:pt idx="8">
                  <c:v>-7.5185735512629046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191-41C8-8662-BEC312A7A0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7279792"/>
        <c:axId val="1227280272"/>
      </c:scatterChart>
      <c:valAx>
        <c:axId val="1227279792"/>
        <c:scaling>
          <c:orientation val="minMax"/>
          <c:max val="2020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80272"/>
        <c:crosses val="autoZero"/>
        <c:crossBetween val="midCat"/>
      </c:valAx>
      <c:valAx>
        <c:axId val="1227280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72797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410308</xdr:colOff>
      <xdr:row>2</xdr:row>
      <xdr:rowOff>0</xdr:rowOff>
    </xdr:from>
    <xdr:to>
      <xdr:col>12</xdr:col>
      <xdr:colOff>304801</xdr:colOff>
      <xdr:row>12</xdr:row>
      <xdr:rowOff>146538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1191C33E-7188-DE20-77A4-94277F67DB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426720</xdr:colOff>
      <xdr:row>2</xdr:row>
      <xdr:rowOff>114300</xdr:rowOff>
    </xdr:from>
    <xdr:to>
      <xdr:col>13</xdr:col>
      <xdr:colOff>598170</xdr:colOff>
      <xdr:row>13</xdr:row>
      <xdr:rowOff>114300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A1DD2C5E-0B87-2574-B926-01CE6AB541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12B60-FFE5-4EA3-99FB-16493F13CC2E}">
  <dimension ref="A1:I10"/>
  <sheetViews>
    <sheetView workbookViewId="0">
      <selection activeCell="B12" sqref="B12"/>
    </sheetView>
  </sheetViews>
  <sheetFormatPr defaultColWidth="14.69921875" defaultRowHeight="25.2" customHeight="1" x14ac:dyDescent="0.3"/>
  <sheetData>
    <row r="1" spans="1:9" ht="25.2" customHeight="1" thickBot="1" x14ac:dyDescent="0.35"/>
    <row r="2" spans="1:9" ht="25.2" customHeight="1" x14ac:dyDescent="0.3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4" t="s">
        <v>5</v>
      </c>
      <c r="G2" s="4" t="s">
        <v>6</v>
      </c>
      <c r="H2" s="23" t="s">
        <v>24</v>
      </c>
    </row>
    <row r="3" spans="1:9" ht="25.2" customHeight="1" x14ac:dyDescent="0.3">
      <c r="A3" s="1">
        <v>2018</v>
      </c>
      <c r="B3" s="2">
        <v>6.89</v>
      </c>
      <c r="C3" s="2">
        <v>128.44</v>
      </c>
      <c r="D3" s="3">
        <v>0.82</v>
      </c>
      <c r="E3" s="3">
        <v>617.69000000000005</v>
      </c>
      <c r="F3" s="4">
        <v>2.06</v>
      </c>
      <c r="G3" s="4">
        <v>132.31</v>
      </c>
    </row>
    <row r="4" spans="1:9" ht="25.2" customHeight="1" x14ac:dyDescent="0.3">
      <c r="A4" s="1">
        <v>2019</v>
      </c>
      <c r="B4" s="2">
        <v>6.54</v>
      </c>
      <c r="C4" s="2">
        <v>132.82</v>
      </c>
      <c r="D4" s="3">
        <v>0.79</v>
      </c>
      <c r="E4" s="3">
        <v>610.79999999999995</v>
      </c>
      <c r="F4" s="4">
        <v>1.95</v>
      </c>
      <c r="G4" s="4">
        <v>143.44999999999999</v>
      </c>
    </row>
    <row r="5" spans="1:9" ht="25.2" customHeight="1" x14ac:dyDescent="0.3">
      <c r="A5" s="1">
        <v>2020</v>
      </c>
      <c r="B5" s="2">
        <v>6.64</v>
      </c>
      <c r="C5" s="2">
        <v>136.52000000000001</v>
      </c>
      <c r="D5" s="3">
        <v>0.8</v>
      </c>
      <c r="E5" s="3">
        <v>616.20000000000005</v>
      </c>
      <c r="F5" s="4">
        <v>1.95</v>
      </c>
      <c r="G5" s="4">
        <v>148.16999999999999</v>
      </c>
    </row>
    <row r="6" spans="1:9" ht="25.2" customHeight="1" x14ac:dyDescent="0.3">
      <c r="A6" s="1">
        <v>2021</v>
      </c>
      <c r="B6" s="2">
        <v>7.35</v>
      </c>
      <c r="C6" s="2">
        <v>136.38999999999999</v>
      </c>
      <c r="D6" s="3">
        <v>0.88</v>
      </c>
      <c r="E6" s="3">
        <v>596.72</v>
      </c>
      <c r="F6" s="4">
        <v>2.14</v>
      </c>
      <c r="G6" s="4">
        <v>154.08000000000001</v>
      </c>
    </row>
    <row r="7" spans="1:9" ht="25.2" customHeight="1" x14ac:dyDescent="0.3">
      <c r="A7" s="1">
        <v>2022</v>
      </c>
      <c r="B7" s="2">
        <v>8.01</v>
      </c>
      <c r="C7" s="2">
        <v>134.47999999999999</v>
      </c>
      <c r="D7" s="3">
        <v>0.96</v>
      </c>
      <c r="E7" s="3">
        <v>625.83000000000004</v>
      </c>
      <c r="F7" s="4">
        <v>2.33</v>
      </c>
      <c r="G7" s="4">
        <v>160.19999999999999</v>
      </c>
    </row>
    <row r="8" spans="1:9" ht="25.2" customHeight="1" x14ac:dyDescent="0.3">
      <c r="A8" s="1">
        <v>2023</v>
      </c>
      <c r="B8" s="2">
        <v>8.48</v>
      </c>
      <c r="C8" s="2">
        <v>130.47999999999999</v>
      </c>
      <c r="D8" s="3">
        <v>0.97</v>
      </c>
      <c r="E8" s="3">
        <v>612.64</v>
      </c>
      <c r="F8" s="4">
        <v>2.38</v>
      </c>
      <c r="G8" s="4">
        <v>166.24</v>
      </c>
    </row>
    <row r="9" spans="1:9" ht="25.2" customHeight="1" x14ac:dyDescent="0.3">
      <c r="A9" s="1">
        <v>2024</v>
      </c>
      <c r="B9" s="2">
        <v>9.0399999999999991</v>
      </c>
      <c r="C9" s="2">
        <v>136.26</v>
      </c>
      <c r="D9" s="3">
        <v>1.02</v>
      </c>
      <c r="E9" s="3">
        <v>614.09</v>
      </c>
      <c r="F9" s="4">
        <v>2.4300000000000002</v>
      </c>
      <c r="G9" s="4">
        <v>172.12</v>
      </c>
    </row>
    <row r="10" spans="1:9" ht="25.2" customHeight="1" thickBot="1" x14ac:dyDescent="0.35">
      <c r="A10" s="6" t="s">
        <v>8</v>
      </c>
      <c r="H10" s="5"/>
      <c r="I10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0920F-120E-4A48-BD7F-13298AB93C3F}">
  <dimension ref="A1:S20"/>
  <sheetViews>
    <sheetView showGridLines="0" tabSelected="1" workbookViewId="0">
      <selection activeCell="K17" sqref="K17"/>
    </sheetView>
  </sheetViews>
  <sheetFormatPr defaultRowHeight="15.6" x14ac:dyDescent="0.3"/>
  <cols>
    <col min="1" max="1" width="8.3984375" style="8" customWidth="1"/>
    <col min="2" max="2" width="14.69921875" style="8" customWidth="1"/>
    <col min="3" max="3" width="15.796875" style="8" customWidth="1"/>
    <col min="4" max="4" width="14.19921875" style="8" customWidth="1"/>
    <col min="5" max="5" width="13" style="8" customWidth="1"/>
    <col min="6" max="6" width="16.796875" style="8" customWidth="1"/>
    <col min="7" max="7" width="14.09765625" style="8" customWidth="1"/>
    <col min="8" max="8" width="12.5" style="8" customWidth="1"/>
    <col min="9" max="9" width="3.296875" style="8" customWidth="1"/>
    <col min="10" max="10" width="20.296875" style="8" customWidth="1"/>
    <col min="11" max="11" width="13.3984375" style="7" customWidth="1"/>
    <col min="12" max="12" width="2.19921875" style="7" customWidth="1"/>
    <col min="13" max="13" width="6.19921875" style="7" customWidth="1"/>
    <col min="14" max="14" width="5.296875" style="7" customWidth="1"/>
    <col min="15" max="15" width="1.8984375" style="7" customWidth="1"/>
    <col min="16" max="16" width="6.296875" style="7" customWidth="1"/>
    <col min="17" max="17" width="5.8984375" style="7" customWidth="1"/>
    <col min="18" max="16384" width="8.796875" style="7"/>
  </cols>
  <sheetData>
    <row r="1" spans="1:19" ht="30.45" customHeight="1" thickBot="1" x14ac:dyDescent="0.35">
      <c r="C1" s="24" t="s">
        <v>26</v>
      </c>
    </row>
    <row r="2" spans="1:19" ht="27.6" customHeight="1" x14ac:dyDescent="0.45">
      <c r="A2" s="105" t="s">
        <v>25</v>
      </c>
      <c r="B2" s="107" t="s">
        <v>38</v>
      </c>
      <c r="C2" s="107"/>
      <c r="D2" s="108" t="s">
        <v>39</v>
      </c>
      <c r="E2" s="109"/>
      <c r="F2" s="35" t="s">
        <v>24</v>
      </c>
      <c r="G2" s="52" t="s">
        <v>33</v>
      </c>
      <c r="H2" s="53" t="s">
        <v>34</v>
      </c>
      <c r="I2" s="22"/>
      <c r="J2" s="66" t="s">
        <v>15</v>
      </c>
      <c r="K2" s="70" t="s">
        <v>31</v>
      </c>
      <c r="L2" s="59" t="s">
        <v>27</v>
      </c>
      <c r="M2" s="71" t="s">
        <v>28</v>
      </c>
      <c r="N2" s="74">
        <f>G15</f>
        <v>0.77029929080212467</v>
      </c>
      <c r="O2" s="72" t="s">
        <v>32</v>
      </c>
      <c r="P2" s="73" t="s">
        <v>30</v>
      </c>
      <c r="Q2" s="75">
        <f>H15</f>
        <v>0.22970070919787527</v>
      </c>
    </row>
    <row r="3" spans="1:19" ht="24.6" customHeight="1" thickBot="1" x14ac:dyDescent="0.5">
      <c r="A3" s="106"/>
      <c r="B3" s="25" t="s">
        <v>23</v>
      </c>
      <c r="C3" s="26" t="s">
        <v>22</v>
      </c>
      <c r="D3" s="31" t="s">
        <v>21</v>
      </c>
      <c r="E3" s="32" t="s">
        <v>20</v>
      </c>
      <c r="F3" s="36" t="s">
        <v>19</v>
      </c>
      <c r="G3" s="54" t="s">
        <v>18</v>
      </c>
      <c r="H3" s="55" t="s">
        <v>17</v>
      </c>
      <c r="J3" s="66" t="s">
        <v>16</v>
      </c>
      <c r="K3" s="58">
        <f>F15</f>
        <v>1025.0870179999999</v>
      </c>
      <c r="L3" s="59" t="s">
        <v>27</v>
      </c>
      <c r="M3" s="60">
        <f>B15</f>
        <v>11.59</v>
      </c>
      <c r="N3" s="61" t="s">
        <v>28</v>
      </c>
      <c r="O3" s="62" t="s">
        <v>29</v>
      </c>
      <c r="P3" s="60">
        <f>D15</f>
        <v>43.059999999999995</v>
      </c>
      <c r="Q3" s="63" t="s">
        <v>30</v>
      </c>
    </row>
    <row r="4" spans="1:19" ht="27.6" customHeight="1" x14ac:dyDescent="0.35">
      <c r="A4" s="21">
        <v>2011</v>
      </c>
      <c r="B4" s="27">
        <v>10.5</v>
      </c>
      <c r="C4" s="28">
        <v>70</v>
      </c>
      <c r="D4" s="41">
        <v>40.299999999999997</v>
      </c>
      <c r="E4" s="42">
        <v>6.1073000000000004</v>
      </c>
      <c r="F4" s="40">
        <f t="shared" ref="F4:F13" si="0">(B4*C4)+(D4*E4)</f>
        <v>981.12419</v>
      </c>
      <c r="G4" s="37">
        <f t="shared" ref="G4:G13" si="1">(B4*C4)/F4</f>
        <v>0.7491406363143488</v>
      </c>
      <c r="H4" s="20">
        <f t="shared" ref="H4:H13" si="2">(D4*E4)/F4</f>
        <v>0.25085936368565126</v>
      </c>
      <c r="J4" s="66" t="s">
        <v>14</v>
      </c>
      <c r="K4" s="67" t="s">
        <v>36</v>
      </c>
      <c r="L4" s="64" t="s">
        <v>27</v>
      </c>
      <c r="M4" s="68" t="s">
        <v>37</v>
      </c>
      <c r="N4" s="68"/>
      <c r="O4" s="68"/>
      <c r="P4" s="68"/>
      <c r="Q4" s="69"/>
      <c r="R4" s="43"/>
      <c r="S4" s="44"/>
    </row>
    <row r="5" spans="1:19" ht="18" customHeight="1" x14ac:dyDescent="0.3">
      <c r="A5" s="21">
        <v>2012</v>
      </c>
      <c r="B5" s="27">
        <v>11.2</v>
      </c>
      <c r="C5" s="28">
        <v>68.599999999999994</v>
      </c>
      <c r="D5" s="41">
        <v>40.9</v>
      </c>
      <c r="E5" s="42">
        <v>5.1521999999999997</v>
      </c>
      <c r="F5" s="40">
        <f t="shared" si="0"/>
        <v>979.0449799999999</v>
      </c>
      <c r="G5" s="37">
        <f t="shared" si="1"/>
        <v>0.78476476126765904</v>
      </c>
      <c r="H5" s="20">
        <f t="shared" si="2"/>
        <v>0.21523523873234099</v>
      </c>
    </row>
    <row r="6" spans="1:19" ht="18" customHeight="1" x14ac:dyDescent="0.3">
      <c r="A6" s="21">
        <v>2013</v>
      </c>
      <c r="B6" s="27">
        <v>8.9</v>
      </c>
      <c r="C6" s="28">
        <v>68</v>
      </c>
      <c r="D6" s="41">
        <v>41.3</v>
      </c>
      <c r="E6" s="42">
        <v>4.9400000000000004</v>
      </c>
      <c r="F6" s="40">
        <f t="shared" ref="F6:F10" si="3">(B6*C6)+(D6*E6)</f>
        <v>809.22199999999998</v>
      </c>
      <c r="G6" s="37">
        <f t="shared" ref="G6:G10" si="4">(B6*C6)/F6</f>
        <v>0.74787882682378881</v>
      </c>
      <c r="H6" s="20">
        <f t="shared" ref="H6:H10" si="5">(D6*E6)/F6</f>
        <v>0.25212117317621124</v>
      </c>
    </row>
    <row r="7" spans="1:19" ht="18" customHeight="1" x14ac:dyDescent="0.3">
      <c r="A7" s="21">
        <v>2014</v>
      </c>
      <c r="B7" s="27">
        <v>11.4</v>
      </c>
      <c r="C7" s="28">
        <v>70.099999999999994</v>
      </c>
      <c r="D7" s="41">
        <v>41.8</v>
      </c>
      <c r="E7" s="42">
        <v>5.0893000000000006</v>
      </c>
      <c r="F7" s="40">
        <f t="shared" si="3"/>
        <v>1011.87274</v>
      </c>
      <c r="G7" s="37">
        <f t="shared" si="4"/>
        <v>0.7897633451416034</v>
      </c>
      <c r="H7" s="20">
        <f t="shared" si="5"/>
        <v>0.21023665485839652</v>
      </c>
      <c r="M7" s="7" t="s">
        <v>35</v>
      </c>
    </row>
    <row r="8" spans="1:19" ht="18" customHeight="1" x14ac:dyDescent="0.3">
      <c r="A8" s="21">
        <v>2015</v>
      </c>
      <c r="B8" s="27">
        <v>11.2</v>
      </c>
      <c r="C8" s="28">
        <v>66.3</v>
      </c>
      <c r="D8" s="41">
        <v>42.6</v>
      </c>
      <c r="E8" s="42">
        <v>4.9992000000000001</v>
      </c>
      <c r="F8" s="40">
        <f t="shared" si="3"/>
        <v>955.52591999999993</v>
      </c>
      <c r="G8" s="37">
        <f t="shared" si="4"/>
        <v>0.77712177603722143</v>
      </c>
      <c r="H8" s="20">
        <f t="shared" si="5"/>
        <v>0.22287822396277857</v>
      </c>
    </row>
    <row r="9" spans="1:19" ht="18" customHeight="1" x14ac:dyDescent="0.3">
      <c r="A9" s="21">
        <v>2016</v>
      </c>
      <c r="B9" s="27">
        <v>10.5</v>
      </c>
      <c r="C9" s="28">
        <v>69.099999999999994</v>
      </c>
      <c r="D9" s="41">
        <v>43.1</v>
      </c>
      <c r="E9" s="42">
        <v>5.3860000000000001</v>
      </c>
      <c r="F9" s="40">
        <f t="shared" si="3"/>
        <v>957.6866</v>
      </c>
      <c r="G9" s="37">
        <f t="shared" si="4"/>
        <v>0.7576069248541224</v>
      </c>
      <c r="H9" s="20">
        <f t="shared" si="5"/>
        <v>0.2423930751458776</v>
      </c>
    </row>
    <row r="10" spans="1:19" ht="18" customHeight="1" x14ac:dyDescent="0.3">
      <c r="A10" s="21">
        <v>2017</v>
      </c>
      <c r="B10" s="27">
        <v>10.8</v>
      </c>
      <c r="C10" s="28">
        <v>68.5</v>
      </c>
      <c r="D10" s="41">
        <v>43.9</v>
      </c>
      <c r="E10" s="42">
        <v>5.6681999999999997</v>
      </c>
      <c r="F10" s="40">
        <f t="shared" si="3"/>
        <v>988.63398000000007</v>
      </c>
      <c r="G10" s="37">
        <f t="shared" si="4"/>
        <v>0.7483052524656294</v>
      </c>
      <c r="H10" s="20">
        <f t="shared" si="5"/>
        <v>0.25169474753437054</v>
      </c>
      <c r="M10" s="65"/>
    </row>
    <row r="11" spans="1:19" ht="18" customHeight="1" x14ac:dyDescent="0.3">
      <c r="A11" s="21">
        <v>2018</v>
      </c>
      <c r="B11" s="27">
        <v>13.6</v>
      </c>
      <c r="C11" s="28">
        <v>67.7</v>
      </c>
      <c r="D11" s="41">
        <v>44.7</v>
      </c>
      <c r="E11" s="42">
        <v>5.9595000000000002</v>
      </c>
      <c r="F11" s="40">
        <f t="shared" si="0"/>
        <v>1187.1096500000001</v>
      </c>
      <c r="G11" s="37">
        <f t="shared" si="1"/>
        <v>0.77559810923952976</v>
      </c>
      <c r="H11" s="20">
        <f t="shared" si="2"/>
        <v>0.22440189076047018</v>
      </c>
    </row>
    <row r="12" spans="1:19" ht="18" customHeight="1" x14ac:dyDescent="0.3">
      <c r="A12" s="21">
        <v>2019</v>
      </c>
      <c r="B12" s="27">
        <v>14.3</v>
      </c>
      <c r="C12" s="28">
        <v>69.5</v>
      </c>
      <c r="D12" s="41">
        <v>45.8</v>
      </c>
      <c r="E12" s="42">
        <v>5.7528999999999995</v>
      </c>
      <c r="F12" s="40">
        <f t="shared" si="0"/>
        <v>1257.3328200000001</v>
      </c>
      <c r="G12" s="37">
        <f t="shared" si="1"/>
        <v>0.7904430586644513</v>
      </c>
      <c r="H12" s="20">
        <f t="shared" si="2"/>
        <v>0.20955694133554864</v>
      </c>
    </row>
    <row r="13" spans="1:19" ht="18" customHeight="1" thickBot="1" x14ac:dyDescent="0.35">
      <c r="A13" s="21">
        <v>2020</v>
      </c>
      <c r="B13" s="27">
        <v>13.5</v>
      </c>
      <c r="C13" s="28">
        <v>65.099999999999994</v>
      </c>
      <c r="D13" s="41">
        <v>46.2</v>
      </c>
      <c r="E13" s="42">
        <v>5.2915000000000001</v>
      </c>
      <c r="F13" s="40">
        <f t="shared" si="0"/>
        <v>1123.3172999999999</v>
      </c>
      <c r="G13" s="37">
        <f t="shared" si="1"/>
        <v>0.78237021721289257</v>
      </c>
      <c r="H13" s="20">
        <f t="shared" si="2"/>
        <v>0.21762978278710746</v>
      </c>
    </row>
    <row r="14" spans="1:19" ht="18" customHeight="1" x14ac:dyDescent="0.3">
      <c r="A14" s="45" t="s">
        <v>7</v>
      </c>
      <c r="B14" s="46">
        <f t="shared" ref="B14:H14" si="6">SUM(B4:B13)</f>
        <v>115.89999999999999</v>
      </c>
      <c r="C14" s="47">
        <f t="shared" si="6"/>
        <v>682.90000000000009</v>
      </c>
      <c r="D14" s="56">
        <f t="shared" si="6"/>
        <v>430.59999999999997</v>
      </c>
      <c r="E14" s="48">
        <f t="shared" si="6"/>
        <v>54.3461</v>
      </c>
      <c r="F14" s="49">
        <f t="shared" si="6"/>
        <v>10250.87018</v>
      </c>
      <c r="G14" s="50">
        <f t="shared" si="6"/>
        <v>7.7029929080212467</v>
      </c>
      <c r="H14" s="51">
        <f t="shared" si="6"/>
        <v>2.2970070919787529</v>
      </c>
    </row>
    <row r="15" spans="1:19" ht="18" customHeight="1" thickBot="1" x14ac:dyDescent="0.35">
      <c r="A15" s="19" t="s">
        <v>8</v>
      </c>
      <c r="B15" s="29">
        <f t="shared" ref="B15:H15" si="7">B14/10</f>
        <v>11.59</v>
      </c>
      <c r="C15" s="30">
        <f t="shared" si="7"/>
        <v>68.290000000000006</v>
      </c>
      <c r="D15" s="33">
        <f t="shared" si="7"/>
        <v>43.059999999999995</v>
      </c>
      <c r="E15" s="34">
        <f t="shared" si="7"/>
        <v>5.4346100000000002</v>
      </c>
      <c r="F15" s="38">
        <f t="shared" si="7"/>
        <v>1025.0870179999999</v>
      </c>
      <c r="G15" s="39">
        <f t="shared" si="7"/>
        <v>0.77029929080212467</v>
      </c>
      <c r="H15" s="18">
        <f t="shared" si="7"/>
        <v>0.22970070919787527</v>
      </c>
    </row>
    <row r="16" spans="1:19" ht="19.95" customHeight="1" x14ac:dyDescent="0.3">
      <c r="A16" s="17"/>
      <c r="B16" s="16"/>
      <c r="C16" s="16"/>
      <c r="D16" s="16"/>
      <c r="E16" s="16"/>
      <c r="F16" s="16"/>
      <c r="G16" s="15"/>
      <c r="H16" s="15"/>
    </row>
    <row r="17" spans="1:17" ht="19.95" customHeight="1" thickBot="1" x14ac:dyDescent="0.35">
      <c r="B17" s="9"/>
      <c r="C17" s="9"/>
      <c r="D17" s="9"/>
      <c r="E17" s="9"/>
      <c r="F17" s="9"/>
    </row>
    <row r="18" spans="1:17" ht="19.8" customHeight="1" thickBot="1" x14ac:dyDescent="0.4">
      <c r="A18" s="14" t="s">
        <v>13</v>
      </c>
      <c r="B18" s="11"/>
      <c r="C18" s="10" t="s">
        <v>12</v>
      </c>
      <c r="D18" s="57">
        <f>G15*F15/B15</f>
        <v>68.12975004105823</v>
      </c>
      <c r="E18" s="13" t="s">
        <v>11</v>
      </c>
      <c r="F18" s="57">
        <f>H15*F15/D15</f>
        <v>5.4682585932219032</v>
      </c>
    </row>
    <row r="19" spans="1:17" ht="19.95" customHeight="1" thickBot="1" x14ac:dyDescent="0.4">
      <c r="A19" s="12" t="s">
        <v>10</v>
      </c>
      <c r="B19" s="11"/>
      <c r="C19" s="10" t="s">
        <v>9</v>
      </c>
      <c r="D19" s="57">
        <f>D18^G15*F18^H15</f>
        <v>38.168270563415426</v>
      </c>
      <c r="E19" s="9"/>
      <c r="F19" s="9"/>
    </row>
    <row r="20" spans="1:17" s="8" customFormat="1" x14ac:dyDescent="0.3">
      <c r="A20" s="9"/>
      <c r="B20" s="9"/>
      <c r="C20" s="9"/>
      <c r="D20" s="9"/>
      <c r="E20" s="9"/>
      <c r="F20" s="9"/>
      <c r="K20" s="7"/>
      <c r="L20" s="7"/>
      <c r="M20" s="7"/>
      <c r="N20" s="7"/>
      <c r="O20" s="7"/>
      <c r="P20" s="7"/>
      <c r="Q20" s="7"/>
    </row>
  </sheetData>
  <mergeCells count="3">
    <mergeCell ref="A2:A3"/>
    <mergeCell ref="B2:C2"/>
    <mergeCell ref="D2:E2"/>
  </mergeCell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A094-B3F3-433C-B433-BF062BB2DFF3}">
  <dimension ref="A1:S20"/>
  <sheetViews>
    <sheetView showGridLines="0" topLeftCell="A2" workbookViewId="0">
      <selection activeCell="D19" sqref="D19"/>
    </sheetView>
  </sheetViews>
  <sheetFormatPr defaultRowHeight="15.6" x14ac:dyDescent="0.3"/>
  <cols>
    <col min="1" max="1" width="12" style="8" customWidth="1"/>
    <col min="2" max="2" width="14.69921875" style="8" customWidth="1"/>
    <col min="3" max="3" width="15.796875" style="8" customWidth="1"/>
    <col min="4" max="4" width="14.19921875" style="8" customWidth="1"/>
    <col min="5" max="5" width="13" style="8" customWidth="1"/>
    <col min="6" max="6" width="16.796875" style="8" customWidth="1"/>
    <col min="7" max="7" width="14.09765625" style="8" customWidth="1"/>
    <col min="8" max="8" width="12.5" style="8" customWidth="1"/>
    <col min="9" max="9" width="3.296875" style="8" customWidth="1"/>
    <col min="10" max="10" width="20.296875" style="8" customWidth="1"/>
    <col min="11" max="11" width="13.3984375" style="7" customWidth="1"/>
    <col min="12" max="12" width="2.19921875" style="7" customWidth="1"/>
    <col min="13" max="13" width="6.19921875" style="7" customWidth="1"/>
    <col min="14" max="14" width="5.296875" style="7" customWidth="1"/>
    <col min="15" max="15" width="1.8984375" style="7" customWidth="1"/>
    <col min="16" max="16" width="6.296875" style="7" customWidth="1"/>
    <col min="17" max="17" width="5.8984375" style="7" customWidth="1"/>
    <col min="18" max="16384" width="8.796875" style="7"/>
  </cols>
  <sheetData>
    <row r="1" spans="1:19" ht="30.45" customHeight="1" thickBot="1" x14ac:dyDescent="0.35">
      <c r="C1" s="24" t="s">
        <v>26</v>
      </c>
    </row>
    <row r="2" spans="1:19" ht="27.6" customHeight="1" x14ac:dyDescent="0.45">
      <c r="A2" s="105" t="s">
        <v>25</v>
      </c>
      <c r="B2" s="107" t="s">
        <v>38</v>
      </c>
      <c r="C2" s="107"/>
      <c r="D2" s="108" t="s">
        <v>39</v>
      </c>
      <c r="E2" s="109"/>
      <c r="F2" s="35" t="s">
        <v>24</v>
      </c>
      <c r="G2" s="52" t="s">
        <v>33</v>
      </c>
      <c r="H2" s="53" t="s">
        <v>34</v>
      </c>
      <c r="I2" s="22"/>
      <c r="J2" s="66" t="s">
        <v>15</v>
      </c>
      <c r="K2" s="70" t="s">
        <v>31</v>
      </c>
      <c r="L2" s="59" t="s">
        <v>27</v>
      </c>
      <c r="M2" s="71" t="s">
        <v>28</v>
      </c>
      <c r="N2" s="74">
        <f>G15</f>
        <v>0.77029929080212467</v>
      </c>
      <c r="O2" s="72" t="s">
        <v>32</v>
      </c>
      <c r="P2" s="73" t="s">
        <v>30</v>
      </c>
      <c r="Q2" s="75">
        <f>H15</f>
        <v>0.22970070919787527</v>
      </c>
    </row>
    <row r="3" spans="1:19" ht="24.6" customHeight="1" thickBot="1" x14ac:dyDescent="0.5">
      <c r="A3" s="106"/>
      <c r="B3" s="25" t="s">
        <v>23</v>
      </c>
      <c r="C3" s="26" t="s">
        <v>22</v>
      </c>
      <c r="D3" s="31" t="s">
        <v>21</v>
      </c>
      <c r="E3" s="32" t="s">
        <v>20</v>
      </c>
      <c r="F3" s="36" t="s">
        <v>19</v>
      </c>
      <c r="G3" s="54" t="s">
        <v>18</v>
      </c>
      <c r="H3" s="55" t="s">
        <v>17</v>
      </c>
      <c r="J3" s="66" t="s">
        <v>16</v>
      </c>
      <c r="K3" s="58">
        <f>F15</f>
        <v>770</v>
      </c>
      <c r="L3" s="59" t="s">
        <v>27</v>
      </c>
      <c r="M3" s="60">
        <f>B15</f>
        <v>11.59</v>
      </c>
      <c r="N3" s="61" t="s">
        <v>28</v>
      </c>
      <c r="O3" s="62" t="s">
        <v>29</v>
      </c>
      <c r="P3" s="60">
        <f>D15</f>
        <v>43.059999999999995</v>
      </c>
      <c r="Q3" s="63" t="s">
        <v>30</v>
      </c>
    </row>
    <row r="4" spans="1:19" ht="27.6" customHeight="1" x14ac:dyDescent="0.35">
      <c r="A4" s="21">
        <v>2011</v>
      </c>
      <c r="B4" s="27">
        <v>10.5</v>
      </c>
      <c r="C4" s="28">
        <v>70</v>
      </c>
      <c r="D4" s="41">
        <v>40.299999999999997</v>
      </c>
      <c r="E4" s="42">
        <v>6.1073000000000004</v>
      </c>
      <c r="F4" s="40">
        <f t="shared" ref="F4:F13" si="0">(B4*C4)+(D4*E4)</f>
        <v>981.12419</v>
      </c>
      <c r="G4" s="37">
        <f t="shared" ref="G4:G13" si="1">(B4*C4)/F4</f>
        <v>0.7491406363143488</v>
      </c>
      <c r="H4" s="20">
        <f t="shared" ref="H4:H13" si="2">(D4*E4)/F4</f>
        <v>0.25085936368565126</v>
      </c>
      <c r="J4" s="66" t="s">
        <v>14</v>
      </c>
      <c r="K4" s="67" t="s">
        <v>36</v>
      </c>
      <c r="L4" s="64" t="s">
        <v>27</v>
      </c>
      <c r="M4" s="68" t="s">
        <v>41</v>
      </c>
      <c r="N4" s="68"/>
      <c r="O4" s="68"/>
      <c r="P4" s="68"/>
      <c r="Q4" s="69"/>
      <c r="R4" s="43"/>
      <c r="S4" s="44"/>
    </row>
    <row r="5" spans="1:19" ht="18" customHeight="1" x14ac:dyDescent="0.3">
      <c r="A5" s="21">
        <v>2012</v>
      </c>
      <c r="B5" s="27">
        <v>11.2</v>
      </c>
      <c r="C5" s="28">
        <v>68.599999999999994</v>
      </c>
      <c r="D5" s="41">
        <v>40.9</v>
      </c>
      <c r="E5" s="42">
        <v>5.1521999999999997</v>
      </c>
      <c r="F5" s="40">
        <f t="shared" si="0"/>
        <v>979.0449799999999</v>
      </c>
      <c r="G5" s="37">
        <f t="shared" si="1"/>
        <v>0.78476476126765904</v>
      </c>
      <c r="H5" s="20">
        <f t="shared" si="2"/>
        <v>0.21523523873234099</v>
      </c>
    </row>
    <row r="6" spans="1:19" ht="18" customHeight="1" x14ac:dyDescent="0.3">
      <c r="A6" s="21">
        <v>2013</v>
      </c>
      <c r="B6" s="27">
        <v>8.9</v>
      </c>
      <c r="C6" s="28">
        <v>68</v>
      </c>
      <c r="D6" s="41">
        <v>41.3</v>
      </c>
      <c r="E6" s="42">
        <v>4.9400000000000004</v>
      </c>
      <c r="F6" s="40">
        <f t="shared" si="0"/>
        <v>809.22199999999998</v>
      </c>
      <c r="G6" s="37">
        <f t="shared" si="1"/>
        <v>0.74787882682378881</v>
      </c>
      <c r="H6" s="20">
        <f t="shared" si="2"/>
        <v>0.25212117317621124</v>
      </c>
    </row>
    <row r="7" spans="1:19" ht="18" customHeight="1" x14ac:dyDescent="0.3">
      <c r="A7" s="21">
        <v>2014</v>
      </c>
      <c r="B7" s="27">
        <v>11.4</v>
      </c>
      <c r="C7" s="28">
        <v>70.099999999999994</v>
      </c>
      <c r="D7" s="41">
        <v>41.8</v>
      </c>
      <c r="E7" s="42">
        <v>5.0893000000000006</v>
      </c>
      <c r="F7" s="40">
        <f t="shared" si="0"/>
        <v>1011.87274</v>
      </c>
      <c r="G7" s="37">
        <f t="shared" si="1"/>
        <v>0.7897633451416034</v>
      </c>
      <c r="H7" s="20">
        <f t="shared" si="2"/>
        <v>0.21023665485839652</v>
      </c>
      <c r="M7" s="7" t="s">
        <v>35</v>
      </c>
    </row>
    <row r="8" spans="1:19" ht="18" customHeight="1" x14ac:dyDescent="0.3">
      <c r="A8" s="21">
        <v>2015</v>
      </c>
      <c r="B8" s="27">
        <v>11.2</v>
      </c>
      <c r="C8" s="28">
        <v>66.3</v>
      </c>
      <c r="D8" s="41">
        <v>42.6</v>
      </c>
      <c r="E8" s="42">
        <v>4.9992000000000001</v>
      </c>
      <c r="F8" s="40">
        <f t="shared" si="0"/>
        <v>955.52591999999993</v>
      </c>
      <c r="G8" s="37">
        <f t="shared" si="1"/>
        <v>0.77712177603722143</v>
      </c>
      <c r="H8" s="20">
        <f t="shared" si="2"/>
        <v>0.22287822396277857</v>
      </c>
    </row>
    <row r="9" spans="1:19" ht="18" customHeight="1" x14ac:dyDescent="0.3">
      <c r="A9" s="21">
        <v>2016</v>
      </c>
      <c r="B9" s="27">
        <v>10.5</v>
      </c>
      <c r="C9" s="28">
        <v>69.099999999999994</v>
      </c>
      <c r="D9" s="41">
        <v>43.1</v>
      </c>
      <c r="E9" s="42">
        <v>5.3860000000000001</v>
      </c>
      <c r="F9" s="40">
        <f t="shared" si="0"/>
        <v>957.6866</v>
      </c>
      <c r="G9" s="37">
        <f t="shared" si="1"/>
        <v>0.7576069248541224</v>
      </c>
      <c r="H9" s="20">
        <f t="shared" si="2"/>
        <v>0.2423930751458776</v>
      </c>
    </row>
    <row r="10" spans="1:19" ht="18" customHeight="1" x14ac:dyDescent="0.3">
      <c r="A10" s="21">
        <v>2017</v>
      </c>
      <c r="B10" s="27">
        <v>10.8</v>
      </c>
      <c r="C10" s="28">
        <v>68.5</v>
      </c>
      <c r="D10" s="41">
        <v>43.9</v>
      </c>
      <c r="E10" s="42">
        <v>5.6681999999999997</v>
      </c>
      <c r="F10" s="40">
        <f t="shared" si="0"/>
        <v>988.63398000000007</v>
      </c>
      <c r="G10" s="37">
        <f t="shared" si="1"/>
        <v>0.7483052524656294</v>
      </c>
      <c r="H10" s="20">
        <f t="shared" si="2"/>
        <v>0.25169474753437054</v>
      </c>
      <c r="M10" s="65"/>
    </row>
    <row r="11" spans="1:19" ht="18" customHeight="1" x14ac:dyDescent="0.3">
      <c r="A11" s="21">
        <v>2018</v>
      </c>
      <c r="B11" s="27">
        <v>13.6</v>
      </c>
      <c r="C11" s="28">
        <v>67.7</v>
      </c>
      <c r="D11" s="41">
        <v>44.7</v>
      </c>
      <c r="E11" s="42">
        <v>5.9595000000000002</v>
      </c>
      <c r="F11" s="40">
        <f t="shared" si="0"/>
        <v>1187.1096500000001</v>
      </c>
      <c r="G11" s="37">
        <f t="shared" si="1"/>
        <v>0.77559810923952976</v>
      </c>
      <c r="H11" s="20">
        <f t="shared" si="2"/>
        <v>0.22440189076047018</v>
      </c>
    </row>
    <row r="12" spans="1:19" ht="18" customHeight="1" x14ac:dyDescent="0.3">
      <c r="A12" s="21">
        <v>2019</v>
      </c>
      <c r="B12" s="27">
        <v>14.3</v>
      </c>
      <c r="C12" s="28">
        <v>69.5</v>
      </c>
      <c r="D12" s="41">
        <v>45.8</v>
      </c>
      <c r="E12" s="42">
        <v>5.7528999999999995</v>
      </c>
      <c r="F12" s="40">
        <f t="shared" si="0"/>
        <v>1257.3328200000001</v>
      </c>
      <c r="G12" s="37">
        <f t="shared" si="1"/>
        <v>0.7904430586644513</v>
      </c>
      <c r="H12" s="20">
        <f t="shared" si="2"/>
        <v>0.20955694133554864</v>
      </c>
    </row>
    <row r="13" spans="1:19" ht="18" customHeight="1" thickBot="1" x14ac:dyDescent="0.35">
      <c r="A13" s="21">
        <v>2020</v>
      </c>
      <c r="B13" s="27">
        <v>13.5</v>
      </c>
      <c r="C13" s="28">
        <v>65.099999999999994</v>
      </c>
      <c r="D13" s="41">
        <v>46.2</v>
      </c>
      <c r="E13" s="42">
        <v>5.2915000000000001</v>
      </c>
      <c r="F13" s="40">
        <f t="shared" si="0"/>
        <v>1123.3172999999999</v>
      </c>
      <c r="G13" s="37">
        <f t="shared" si="1"/>
        <v>0.78237021721289257</v>
      </c>
      <c r="H13" s="20">
        <f t="shared" si="2"/>
        <v>0.21762978278710746</v>
      </c>
    </row>
    <row r="14" spans="1:19" ht="18" customHeight="1" x14ac:dyDescent="0.3">
      <c r="A14" s="45" t="s">
        <v>7</v>
      </c>
      <c r="B14" s="46">
        <f t="shared" ref="B14:H14" si="3">SUM(B4:B13)</f>
        <v>115.89999999999999</v>
      </c>
      <c r="C14" s="47">
        <f t="shared" si="3"/>
        <v>682.90000000000009</v>
      </c>
      <c r="D14" s="56">
        <f t="shared" si="3"/>
        <v>430.59999999999997</v>
      </c>
      <c r="E14" s="48">
        <f t="shared" si="3"/>
        <v>54.3461</v>
      </c>
      <c r="F14" s="49">
        <f t="shared" si="3"/>
        <v>10250.87018</v>
      </c>
      <c r="G14" s="50">
        <f t="shared" si="3"/>
        <v>7.7029929080212467</v>
      </c>
      <c r="H14" s="51">
        <f t="shared" si="3"/>
        <v>2.2970070919787529</v>
      </c>
    </row>
    <row r="15" spans="1:19" ht="18" customHeight="1" thickBot="1" x14ac:dyDescent="0.35">
      <c r="A15" s="19" t="s">
        <v>40</v>
      </c>
      <c r="B15" s="29">
        <f t="shared" ref="B15:H15" si="4">B14/10</f>
        <v>11.59</v>
      </c>
      <c r="C15" s="30">
        <f t="shared" si="4"/>
        <v>68.290000000000006</v>
      </c>
      <c r="D15" s="33">
        <f t="shared" si="4"/>
        <v>43.059999999999995</v>
      </c>
      <c r="E15" s="34">
        <f t="shared" si="4"/>
        <v>5.4346100000000002</v>
      </c>
      <c r="F15" s="38">
        <v>770</v>
      </c>
      <c r="G15" s="39">
        <f t="shared" si="4"/>
        <v>0.77029929080212467</v>
      </c>
      <c r="H15" s="18">
        <f t="shared" si="4"/>
        <v>0.22970070919787527</v>
      </c>
    </row>
    <row r="16" spans="1:19" ht="19.95" customHeight="1" x14ac:dyDescent="0.3">
      <c r="A16" s="17"/>
      <c r="B16" s="16"/>
      <c r="C16" s="16"/>
      <c r="D16" s="16"/>
      <c r="E16" s="16"/>
      <c r="F16" s="16"/>
      <c r="G16" s="15"/>
      <c r="H16" s="15"/>
    </row>
    <row r="17" spans="1:17" ht="19.95" customHeight="1" thickBot="1" x14ac:dyDescent="0.35">
      <c r="B17" s="9"/>
      <c r="C17" s="9"/>
      <c r="D17" s="9"/>
      <c r="E17" s="9"/>
      <c r="F17" s="9"/>
    </row>
    <row r="18" spans="1:17" ht="19.8" customHeight="1" thickBot="1" x14ac:dyDescent="0.4">
      <c r="A18" s="14" t="s">
        <v>13</v>
      </c>
      <c r="B18" s="11"/>
      <c r="C18" s="10" t="s">
        <v>12</v>
      </c>
      <c r="D18" s="57">
        <f>G15*F15/B15</f>
        <v>51.176052969597585</v>
      </c>
      <c r="E18" s="13" t="s">
        <v>11</v>
      </c>
      <c r="F18" s="57">
        <f>H15*F15/D15</f>
        <v>4.1075138430646536</v>
      </c>
    </row>
    <row r="19" spans="1:17" ht="19.95" customHeight="1" thickBot="1" x14ac:dyDescent="0.4">
      <c r="A19" s="12" t="s">
        <v>10</v>
      </c>
      <c r="B19" s="11"/>
      <c r="C19" s="10" t="s">
        <v>9</v>
      </c>
      <c r="D19" s="57">
        <f>D18^G15*F18^H15</f>
        <v>28.67031561005475</v>
      </c>
      <c r="E19" s="9"/>
      <c r="F19" s="9"/>
    </row>
    <row r="20" spans="1:17" s="8" customFormat="1" x14ac:dyDescent="0.3">
      <c r="A20" s="9"/>
      <c r="B20" s="9"/>
      <c r="C20" s="9"/>
      <c r="D20" s="9"/>
      <c r="E20" s="9"/>
      <c r="F20" s="9"/>
      <c r="K20" s="7"/>
      <c r="L20" s="7"/>
      <c r="M20" s="7"/>
      <c r="N20" s="7"/>
      <c r="O20" s="7"/>
      <c r="P20" s="7"/>
      <c r="Q20" s="7"/>
    </row>
  </sheetData>
  <mergeCells count="3">
    <mergeCell ref="A2:A3"/>
    <mergeCell ref="B2:C2"/>
    <mergeCell ref="D2:E2"/>
  </mergeCells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6C9A6-8009-4352-BE09-C69744934772}">
  <dimension ref="A1:J11"/>
  <sheetViews>
    <sheetView showGridLines="0" workbookViewId="0">
      <selection activeCell="G11" sqref="G11"/>
    </sheetView>
  </sheetViews>
  <sheetFormatPr defaultRowHeight="15.6" x14ac:dyDescent="0.3"/>
  <cols>
    <col min="1" max="2" width="12" style="8" customWidth="1"/>
    <col min="3" max="3" width="12.796875" style="8" customWidth="1"/>
    <col min="4" max="4" width="12.3984375" style="8" customWidth="1"/>
    <col min="5" max="5" width="12.796875" style="8" customWidth="1"/>
    <col min="6" max="6" width="11.796875" style="8" customWidth="1"/>
    <col min="7" max="7" width="16.796875" style="8" customWidth="1"/>
    <col min="8" max="8" width="14.09765625" style="8" customWidth="1"/>
    <col min="9" max="9" width="12.5" style="8" customWidth="1"/>
    <col min="10" max="10" width="3.296875" style="8" customWidth="1"/>
    <col min="11" max="16384" width="8.796875" style="7"/>
  </cols>
  <sheetData>
    <row r="1" spans="1:10" ht="30.45" customHeight="1" x14ac:dyDescent="0.3">
      <c r="D1" s="24" t="s">
        <v>50</v>
      </c>
    </row>
    <row r="2" spans="1:10" ht="27.6" customHeight="1" x14ac:dyDescent="0.3">
      <c r="A2" s="110" t="s">
        <v>25</v>
      </c>
      <c r="B2" s="113" t="s">
        <v>42</v>
      </c>
      <c r="C2" s="111" t="s">
        <v>38</v>
      </c>
      <c r="D2" s="111"/>
      <c r="E2" s="112" t="s">
        <v>39</v>
      </c>
      <c r="F2" s="112"/>
      <c r="J2" s="22"/>
    </row>
    <row r="3" spans="1:10" ht="39" customHeight="1" x14ac:dyDescent="0.45">
      <c r="A3" s="110"/>
      <c r="B3" s="114"/>
      <c r="C3" s="83" t="s">
        <v>23</v>
      </c>
      <c r="D3" s="79" t="s">
        <v>22</v>
      </c>
      <c r="E3" s="83" t="s">
        <v>21</v>
      </c>
      <c r="F3" s="80" t="s">
        <v>20</v>
      </c>
    </row>
    <row r="4" spans="1:10" ht="18" customHeight="1" x14ac:dyDescent="0.3">
      <c r="A4" s="76">
        <v>2013</v>
      </c>
      <c r="B4" s="88">
        <v>25035</v>
      </c>
      <c r="C4" s="85">
        <v>8.9</v>
      </c>
      <c r="D4" s="77">
        <v>68</v>
      </c>
      <c r="E4" s="87">
        <v>41.3</v>
      </c>
      <c r="F4" s="78">
        <v>4.9400000000000004</v>
      </c>
    </row>
    <row r="5" spans="1:10" ht="18" customHeight="1" x14ac:dyDescent="0.3">
      <c r="A5" s="76">
        <v>2014</v>
      </c>
      <c r="B5" s="88">
        <v>25768</v>
      </c>
      <c r="C5" s="85">
        <v>11.4</v>
      </c>
      <c r="D5" s="77">
        <v>70.099999999999994</v>
      </c>
      <c r="E5" s="87">
        <v>41.8</v>
      </c>
      <c r="F5" s="78">
        <v>5.0893000000000006</v>
      </c>
    </row>
    <row r="6" spans="1:10" ht="23.4" customHeight="1" x14ac:dyDescent="0.4">
      <c r="A6" s="117"/>
      <c r="B6" s="117"/>
      <c r="C6" s="118" t="s">
        <v>43</v>
      </c>
      <c r="D6" s="119">
        <f>((D5-D4)/(D5+D4))/((B5-B4)/(B5+B4))</f>
        <v>1.0539281399385316</v>
      </c>
      <c r="E6" s="118" t="s">
        <v>44</v>
      </c>
      <c r="F6" s="119">
        <f>((F5-F4)/(F5+F4))/((D5-D4)/(D5+D4))</f>
        <v>0.97895689439466571</v>
      </c>
    </row>
    <row r="11" spans="1:10" x14ac:dyDescent="0.3">
      <c r="J11" s="7"/>
    </row>
  </sheetData>
  <mergeCells count="4">
    <mergeCell ref="A2:A3"/>
    <mergeCell ref="C2:D2"/>
    <mergeCell ref="E2:F2"/>
    <mergeCell ref="B2:B3"/>
  </mergeCells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FB6C3-31BA-4328-8D6C-F499CCBFB129}">
  <dimension ref="A1:S8"/>
  <sheetViews>
    <sheetView showGridLines="0" workbookViewId="0">
      <selection activeCell="D16" sqref="D16"/>
    </sheetView>
  </sheetViews>
  <sheetFormatPr defaultRowHeight="15.6" x14ac:dyDescent="0.3"/>
  <cols>
    <col min="1" max="1" width="8.3984375" style="8" customWidth="1"/>
    <col min="2" max="2" width="14.69921875" style="8" customWidth="1"/>
    <col min="3" max="3" width="15.796875" style="8" customWidth="1"/>
    <col min="4" max="4" width="14.19921875" style="8" customWidth="1"/>
    <col min="5" max="5" width="13" style="8" customWidth="1"/>
    <col min="6" max="6" width="16.796875" style="8" customWidth="1"/>
    <col min="7" max="7" width="14.09765625" style="8" customWidth="1"/>
    <col min="8" max="8" width="12.5" style="8" customWidth="1"/>
    <col min="9" max="9" width="3.296875" style="8" customWidth="1"/>
    <col min="10" max="10" width="20.296875" style="8" customWidth="1"/>
    <col min="11" max="11" width="13.3984375" style="7" customWidth="1"/>
    <col min="12" max="12" width="2.19921875" style="7" customWidth="1"/>
    <col min="13" max="13" width="6.19921875" style="7" customWidth="1"/>
    <col min="14" max="14" width="5.796875" style="7" customWidth="1"/>
    <col min="15" max="15" width="1.8984375" style="7" customWidth="1"/>
    <col min="16" max="16" width="6.296875" style="7" customWidth="1"/>
    <col min="17" max="17" width="5.8984375" style="7" customWidth="1"/>
    <col min="18" max="16384" width="8.796875" style="7"/>
  </cols>
  <sheetData>
    <row r="1" spans="1:19" ht="30.45" customHeight="1" thickBot="1" x14ac:dyDescent="0.45">
      <c r="C1" s="24" t="s">
        <v>26</v>
      </c>
      <c r="J1" s="66" t="s">
        <v>15</v>
      </c>
      <c r="K1" s="70" t="s">
        <v>31</v>
      </c>
      <c r="L1" s="59" t="s">
        <v>27</v>
      </c>
      <c r="M1" s="71" t="s">
        <v>28</v>
      </c>
      <c r="N1" s="91">
        <f>G4</f>
        <v>0.77029929080212467</v>
      </c>
      <c r="O1" s="72" t="s">
        <v>32</v>
      </c>
      <c r="P1" s="73" t="s">
        <v>30</v>
      </c>
      <c r="Q1" s="75">
        <f>H4</f>
        <v>0.22970070919787527</v>
      </c>
    </row>
    <row r="2" spans="1:19" ht="27.6" customHeight="1" x14ac:dyDescent="0.45">
      <c r="A2" s="105" t="s">
        <v>25</v>
      </c>
      <c r="B2" s="107" t="s">
        <v>38</v>
      </c>
      <c r="C2" s="107"/>
      <c r="D2" s="108" t="s">
        <v>39</v>
      </c>
      <c r="E2" s="109"/>
      <c r="F2" s="35" t="s">
        <v>24</v>
      </c>
      <c r="G2" s="52" t="s">
        <v>33</v>
      </c>
      <c r="H2" s="53" t="s">
        <v>34</v>
      </c>
      <c r="I2" s="22"/>
      <c r="J2" s="66" t="s">
        <v>16</v>
      </c>
      <c r="K2" s="58">
        <f>F4</f>
        <v>1025.0870179999999</v>
      </c>
      <c r="L2" s="59" t="s">
        <v>27</v>
      </c>
      <c r="M2" s="60">
        <f>B4</f>
        <v>8</v>
      </c>
      <c r="N2" s="61" t="s">
        <v>28</v>
      </c>
      <c r="O2" s="62" t="s">
        <v>29</v>
      </c>
      <c r="P2" s="60">
        <f>D4</f>
        <v>43.059999999999995</v>
      </c>
      <c r="Q2" s="63" t="s">
        <v>30</v>
      </c>
    </row>
    <row r="3" spans="1:19" ht="24.6" customHeight="1" thickBot="1" x14ac:dyDescent="0.5">
      <c r="A3" s="106"/>
      <c r="B3" s="25" t="s">
        <v>23</v>
      </c>
      <c r="C3" s="26" t="s">
        <v>22</v>
      </c>
      <c r="D3" s="31" t="s">
        <v>21</v>
      </c>
      <c r="E3" s="32" t="s">
        <v>20</v>
      </c>
      <c r="F3" s="36" t="s">
        <v>19</v>
      </c>
      <c r="G3" s="54" t="s">
        <v>18</v>
      </c>
      <c r="H3" s="55" t="s">
        <v>17</v>
      </c>
      <c r="J3" s="66" t="s">
        <v>14</v>
      </c>
      <c r="K3" s="67" t="s">
        <v>36</v>
      </c>
      <c r="L3" s="64" t="s">
        <v>27</v>
      </c>
      <c r="M3" s="68" t="s">
        <v>48</v>
      </c>
      <c r="N3" s="68"/>
      <c r="O3" s="68"/>
      <c r="P3" s="68"/>
      <c r="Q3" s="69"/>
      <c r="R3" s="43"/>
      <c r="S3" s="44"/>
    </row>
    <row r="4" spans="1:19" ht="18" customHeight="1" thickBot="1" x14ac:dyDescent="0.35">
      <c r="A4" s="19"/>
      <c r="B4" s="29">
        <v>8</v>
      </c>
      <c r="C4" s="30">
        <v>68.290000000000006</v>
      </c>
      <c r="D4" s="33">
        <v>43.059999999999995</v>
      </c>
      <c r="E4" s="34">
        <v>5.4346100000000002</v>
      </c>
      <c r="F4" s="38">
        <v>1025.0870179999999</v>
      </c>
      <c r="G4" s="39">
        <v>0.77029929080212467</v>
      </c>
      <c r="H4" s="18">
        <v>0.22970070919787527</v>
      </c>
    </row>
    <row r="5" spans="1:19" ht="19.95" customHeight="1" thickBot="1" x14ac:dyDescent="0.35">
      <c r="A5" s="17"/>
      <c r="B5" s="16"/>
      <c r="C5" s="16"/>
      <c r="D5" s="16"/>
      <c r="E5" s="16"/>
      <c r="F5" s="16"/>
      <c r="G5" s="15"/>
      <c r="H5" s="15"/>
    </row>
    <row r="6" spans="1:19" ht="19.8" customHeight="1" thickBot="1" x14ac:dyDescent="0.4">
      <c r="A6" s="14" t="s">
        <v>13</v>
      </c>
      <c r="B6" s="11"/>
      <c r="C6" s="10" t="s">
        <v>12</v>
      </c>
      <c r="D6" s="57">
        <f>G4*F4/B4</f>
        <v>98.702975371983101</v>
      </c>
      <c r="E6" s="13" t="s">
        <v>11</v>
      </c>
      <c r="F6" s="57">
        <f>H4*F4/D4</f>
        <v>5.4682585932219032</v>
      </c>
    </row>
    <row r="7" spans="1:19" ht="19.95" customHeight="1" thickBot="1" x14ac:dyDescent="0.4">
      <c r="A7" s="12" t="s">
        <v>10</v>
      </c>
      <c r="B7" s="11"/>
      <c r="C7" s="10" t="s">
        <v>9</v>
      </c>
      <c r="D7" s="57">
        <f>D6^G4*F6^H4</f>
        <v>50.782680602930562</v>
      </c>
      <c r="E7" s="9"/>
      <c r="F7" s="9"/>
    </row>
    <row r="8" spans="1:19" s="8" customFormat="1" x14ac:dyDescent="0.3">
      <c r="A8" s="9"/>
      <c r="B8" s="9"/>
      <c r="C8" s="9"/>
      <c r="D8" s="9"/>
      <c r="E8" s="9"/>
      <c r="F8" s="9"/>
      <c r="K8" s="7"/>
      <c r="L8" s="7"/>
      <c r="M8" s="7"/>
      <c r="N8" s="7"/>
      <c r="O8" s="7"/>
      <c r="P8" s="7"/>
      <c r="Q8" s="7"/>
    </row>
  </sheetData>
  <mergeCells count="3">
    <mergeCell ref="A2:A3"/>
    <mergeCell ref="B2:C2"/>
    <mergeCell ref="D2:E2"/>
  </mergeCells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E6F93-A328-4E4F-B60B-1CC0133288AF}">
  <dimension ref="A1:I12"/>
  <sheetViews>
    <sheetView showGridLines="0" zoomScale="98" zoomScaleNormal="98" workbookViewId="0">
      <selection activeCell="G16" sqref="G16"/>
    </sheetView>
  </sheetViews>
  <sheetFormatPr defaultRowHeight="15.6" x14ac:dyDescent="0.3"/>
  <cols>
    <col min="1" max="1" width="12" style="8" customWidth="1"/>
    <col min="2" max="2" width="12.796875" style="8" customWidth="1"/>
    <col min="3" max="3" width="12.3984375" style="8" customWidth="1"/>
    <col min="4" max="4" width="12.796875" style="8" customWidth="1"/>
    <col min="5" max="5" width="11.796875" style="8" customWidth="1"/>
    <col min="6" max="6" width="16.796875" style="8" customWidth="1"/>
    <col min="7" max="7" width="14.09765625" style="8" customWidth="1"/>
    <col min="8" max="8" width="12.5" style="8" customWidth="1"/>
    <col min="9" max="9" width="3.296875" style="8" customWidth="1"/>
    <col min="10" max="16384" width="8.796875" style="7"/>
  </cols>
  <sheetData>
    <row r="1" spans="1:9" ht="30.45" customHeight="1" x14ac:dyDescent="0.3">
      <c r="B1" s="8" t="s">
        <v>50</v>
      </c>
      <c r="C1" s="24"/>
    </row>
    <row r="2" spans="1:9" ht="18" customHeight="1" x14ac:dyDescent="0.3">
      <c r="A2" s="110"/>
      <c r="B2" s="115" t="s">
        <v>38</v>
      </c>
      <c r="C2" s="115"/>
      <c r="G2" s="22"/>
      <c r="H2" s="7"/>
      <c r="I2" s="7"/>
    </row>
    <row r="3" spans="1:9" ht="21" customHeight="1" x14ac:dyDescent="0.45">
      <c r="A3" s="110"/>
      <c r="B3" s="83" t="s">
        <v>23</v>
      </c>
      <c r="C3" s="84" t="s">
        <v>22</v>
      </c>
      <c r="H3" s="7"/>
      <c r="I3" s="7"/>
    </row>
    <row r="4" spans="1:9" ht="18" customHeight="1" x14ac:dyDescent="0.3">
      <c r="A4" s="76" t="s">
        <v>45</v>
      </c>
      <c r="B4" s="85">
        <v>11.59</v>
      </c>
      <c r="C4" s="86">
        <v>68.13</v>
      </c>
      <c r="H4" s="7"/>
      <c r="I4" s="7"/>
    </row>
    <row r="5" spans="1:9" ht="18" customHeight="1" x14ac:dyDescent="0.3">
      <c r="A5" s="76" t="s">
        <v>46</v>
      </c>
      <c r="B5" s="87">
        <f>'změna ceny -B'!B4</f>
        <v>8</v>
      </c>
      <c r="C5" s="87">
        <f>'změna ceny -B'!D6</f>
        <v>98.702975371983101</v>
      </c>
      <c r="H5" s="7"/>
      <c r="I5" s="7"/>
    </row>
    <row r="6" spans="1:9" ht="18" customHeight="1" x14ac:dyDescent="0.3">
      <c r="A6" s="89"/>
      <c r="B6" s="90"/>
      <c r="C6" s="90"/>
      <c r="H6" s="7"/>
      <c r="I6" s="7"/>
    </row>
    <row r="7" spans="1:9" ht="16.2" customHeight="1" x14ac:dyDescent="0.3">
      <c r="B7" s="81" t="s">
        <v>47</v>
      </c>
      <c r="C7" s="82">
        <f>((C5-C4)/(C5+C4))/((B5-B4)/(B5+B4))</f>
        <v>-0.99999032600708149</v>
      </c>
      <c r="H7" s="7"/>
      <c r="I7" s="7"/>
    </row>
    <row r="12" spans="1:9" x14ac:dyDescent="0.3">
      <c r="I12" s="7"/>
    </row>
  </sheetData>
  <mergeCells count="2">
    <mergeCell ref="A2:A3"/>
    <mergeCell ref="B2:C2"/>
  </mergeCells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AA26-F851-4809-8274-E70E4ED7DC3C}">
  <dimension ref="A1:E14"/>
  <sheetViews>
    <sheetView showGridLines="0" topLeftCell="A2" zoomScale="130" zoomScaleNormal="130" workbookViewId="0">
      <selection activeCell="H15" sqref="H15"/>
    </sheetView>
  </sheetViews>
  <sheetFormatPr defaultRowHeight="15.6" x14ac:dyDescent="0.3"/>
  <cols>
    <col min="1" max="1" width="8.3984375" style="8" customWidth="1"/>
    <col min="2" max="2" width="10.09765625" style="8" customWidth="1"/>
    <col min="3" max="3" width="12.796875" style="8" customWidth="1"/>
    <col min="4" max="4" width="10.69921875" style="8" customWidth="1"/>
    <col min="5" max="5" width="3.296875" style="8" customWidth="1"/>
    <col min="6" max="16384" width="8.796875" style="7"/>
  </cols>
  <sheetData>
    <row r="1" spans="1:5" ht="30.45" customHeight="1" thickBot="1" x14ac:dyDescent="0.35">
      <c r="C1" s="24" t="s">
        <v>49</v>
      </c>
      <c r="D1" s="24"/>
    </row>
    <row r="2" spans="1:5" ht="19.8" customHeight="1" x14ac:dyDescent="0.3">
      <c r="A2" s="105" t="s">
        <v>25</v>
      </c>
      <c r="B2" s="107" t="s">
        <v>38</v>
      </c>
      <c r="C2" s="107"/>
      <c r="D2" s="92"/>
      <c r="E2" s="22"/>
    </row>
    <row r="3" spans="1:5" ht="40.200000000000003" customHeight="1" thickBot="1" x14ac:dyDescent="0.5">
      <c r="A3" s="116"/>
      <c r="B3" s="93" t="s">
        <v>23</v>
      </c>
      <c r="C3" s="94" t="s">
        <v>22</v>
      </c>
      <c r="D3" s="95" t="s">
        <v>49</v>
      </c>
    </row>
    <row r="4" spans="1:5" ht="20.399999999999999" customHeight="1" x14ac:dyDescent="0.3">
      <c r="A4" s="96">
        <v>2011</v>
      </c>
      <c r="B4" s="97">
        <v>10.5</v>
      </c>
      <c r="C4" s="97">
        <v>70</v>
      </c>
      <c r="D4" s="98"/>
    </row>
    <row r="5" spans="1:5" ht="18" customHeight="1" x14ac:dyDescent="0.3">
      <c r="A5" s="99">
        <v>2012</v>
      </c>
      <c r="B5" s="85">
        <v>11.2</v>
      </c>
      <c r="C5" s="85">
        <v>68.599999999999994</v>
      </c>
      <c r="D5" s="100">
        <f>((C5-C4)/(C5+C4))/((B5-B4)/(B5+B4))</f>
        <v>-0.31313131313131465</v>
      </c>
    </row>
    <row r="6" spans="1:5" ht="18" customHeight="1" x14ac:dyDescent="0.3">
      <c r="A6" s="99">
        <v>2013</v>
      </c>
      <c r="B6" s="85">
        <v>8.9</v>
      </c>
      <c r="C6" s="85">
        <v>68</v>
      </c>
      <c r="D6" s="100">
        <f t="shared" ref="D6:D13" si="0">((C6-C5)/(C6+C5))/((B6-B5)/(B6+B5))</f>
        <v>3.8385638805779783E-2</v>
      </c>
    </row>
    <row r="7" spans="1:5" ht="18" customHeight="1" x14ac:dyDescent="0.3">
      <c r="A7" s="99">
        <v>2014</v>
      </c>
      <c r="B7" s="85">
        <v>11.4</v>
      </c>
      <c r="C7" s="85">
        <v>70.099999999999994</v>
      </c>
      <c r="D7" s="100">
        <f>((C7-C6)/(C7+C6))/((B7-B6)/(B7+B6))</f>
        <v>0.12347574221578532</v>
      </c>
    </row>
    <row r="8" spans="1:5" ht="18" customHeight="1" x14ac:dyDescent="0.3">
      <c r="A8" s="99">
        <v>2015</v>
      </c>
      <c r="B8" s="85">
        <v>11.2</v>
      </c>
      <c r="C8" s="85">
        <v>66.3</v>
      </c>
      <c r="D8" s="100">
        <f t="shared" si="0"/>
        <v>3.14809384164221</v>
      </c>
    </row>
    <row r="9" spans="1:5" ht="18" customHeight="1" x14ac:dyDescent="0.3">
      <c r="A9" s="99">
        <v>2016</v>
      </c>
      <c r="B9" s="85">
        <v>10.5</v>
      </c>
      <c r="C9" s="85">
        <v>69.099999999999994</v>
      </c>
      <c r="D9" s="100">
        <f t="shared" si="0"/>
        <v>-0.64106351550960117</v>
      </c>
    </row>
    <row r="10" spans="1:5" ht="18" customHeight="1" x14ac:dyDescent="0.3">
      <c r="A10" s="99">
        <v>2017</v>
      </c>
      <c r="B10" s="85">
        <v>10.8</v>
      </c>
      <c r="C10" s="85">
        <v>68.5</v>
      </c>
      <c r="D10" s="100">
        <f t="shared" si="0"/>
        <v>-0.30959302325581034</v>
      </c>
    </row>
    <row r="11" spans="1:5" ht="18" customHeight="1" x14ac:dyDescent="0.3">
      <c r="A11" s="99">
        <v>2018</v>
      </c>
      <c r="B11" s="85">
        <v>13.6</v>
      </c>
      <c r="C11" s="85">
        <v>67.7</v>
      </c>
      <c r="D11" s="100">
        <f t="shared" si="0"/>
        <v>-5.118523180197173E-2</v>
      </c>
    </row>
    <row r="12" spans="1:5" ht="18" customHeight="1" x14ac:dyDescent="0.3">
      <c r="A12" s="99">
        <v>2019</v>
      </c>
      <c r="B12" s="85">
        <v>14.3</v>
      </c>
      <c r="C12" s="85">
        <v>69.5</v>
      </c>
      <c r="D12" s="100">
        <f t="shared" si="0"/>
        <v>0.52290712203248479</v>
      </c>
    </row>
    <row r="13" spans="1:5" ht="18" customHeight="1" thickBot="1" x14ac:dyDescent="0.35">
      <c r="A13" s="101">
        <v>2020</v>
      </c>
      <c r="B13" s="102">
        <v>13.5</v>
      </c>
      <c r="C13" s="102">
        <v>65.099999999999994</v>
      </c>
      <c r="D13" s="103">
        <f t="shared" si="0"/>
        <v>1.1359583952451713</v>
      </c>
    </row>
    <row r="14" spans="1:5" ht="19.95" customHeight="1" x14ac:dyDescent="0.3">
      <c r="A14" s="17"/>
      <c r="B14" s="16"/>
      <c r="C14" s="16"/>
      <c r="D14" s="16"/>
    </row>
  </sheetData>
  <mergeCells count="2">
    <mergeCell ref="A2:A3"/>
    <mergeCell ref="B2:C2"/>
  </mergeCells>
  <pageMargins left="0.7" right="0.7" top="0.78740157499999996" bottom="0.78740157499999996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CD90B-2479-4E93-9A97-34CA73FB4BBF}">
  <dimension ref="A1:F14"/>
  <sheetViews>
    <sheetView showGridLines="0" workbookViewId="0">
      <selection activeCell="Q3" sqref="Q3"/>
    </sheetView>
  </sheetViews>
  <sheetFormatPr defaultRowHeight="15.6" x14ac:dyDescent="0.3"/>
  <cols>
    <col min="1" max="1" width="8.3984375" style="8" customWidth="1"/>
    <col min="2" max="2" width="14.69921875" style="8" customWidth="1"/>
    <col min="3" max="3" width="15.796875" style="8" customWidth="1"/>
    <col min="4" max="4" width="14.19921875" style="8" customWidth="1"/>
    <col min="5" max="5" width="13" style="8" customWidth="1"/>
    <col min="6" max="6" width="18.3984375" style="7" customWidth="1"/>
    <col min="7" max="16384" width="8.796875" style="7"/>
  </cols>
  <sheetData>
    <row r="1" spans="1:6" ht="30.45" customHeight="1" thickBot="1" x14ac:dyDescent="0.35">
      <c r="C1" s="24"/>
    </row>
    <row r="2" spans="1:6" ht="27.6" customHeight="1" x14ac:dyDescent="0.3">
      <c r="A2" s="105" t="s">
        <v>25</v>
      </c>
      <c r="B2" s="107" t="s">
        <v>38</v>
      </c>
      <c r="C2" s="107"/>
      <c r="D2" s="108" t="s">
        <v>39</v>
      </c>
      <c r="E2" s="109"/>
    </row>
    <row r="3" spans="1:6" ht="24.6" customHeight="1" thickBot="1" x14ac:dyDescent="0.5">
      <c r="A3" s="106"/>
      <c r="B3" s="25" t="s">
        <v>23</v>
      </c>
      <c r="C3" s="26" t="s">
        <v>22</v>
      </c>
      <c r="D3" s="31" t="s">
        <v>21</v>
      </c>
      <c r="E3" s="32" t="s">
        <v>20</v>
      </c>
    </row>
    <row r="4" spans="1:6" ht="21.6" customHeight="1" x14ac:dyDescent="0.3">
      <c r="A4" s="21">
        <v>2011</v>
      </c>
      <c r="B4" s="27">
        <v>10.5</v>
      </c>
      <c r="C4" s="28">
        <v>70</v>
      </c>
      <c r="D4" s="41">
        <v>40.299999999999997</v>
      </c>
      <c r="E4" s="42">
        <v>6.1073000000000004</v>
      </c>
    </row>
    <row r="5" spans="1:6" ht="21.6" customHeight="1" x14ac:dyDescent="0.3">
      <c r="A5" s="21">
        <v>2012</v>
      </c>
      <c r="B5" s="27">
        <v>11.2</v>
      </c>
      <c r="C5" s="28">
        <v>68.599999999999994</v>
      </c>
      <c r="D5" s="41">
        <v>40.9</v>
      </c>
      <c r="E5" s="42">
        <v>5.1521999999999997</v>
      </c>
      <c r="F5" s="104">
        <f>((C5-C4)/(C5+C4))/((D5-D4)/(D5+D4))</f>
        <v>-1.367003367003369</v>
      </c>
    </row>
    <row r="6" spans="1:6" ht="21.6" customHeight="1" x14ac:dyDescent="0.3">
      <c r="A6" s="21">
        <v>2013</v>
      </c>
      <c r="B6" s="27">
        <v>8.9</v>
      </c>
      <c r="C6" s="28">
        <v>68</v>
      </c>
      <c r="D6" s="41">
        <v>41.3</v>
      </c>
      <c r="E6" s="42">
        <v>4.9400000000000004</v>
      </c>
      <c r="F6" s="104">
        <f t="shared" ref="F6:F13" si="0">((C6-C5)/(C6+C5))/((D6-D5)/(D6+D5))</f>
        <v>-0.90263543191800333</v>
      </c>
    </row>
    <row r="7" spans="1:6" ht="21.6" customHeight="1" x14ac:dyDescent="0.3">
      <c r="A7" s="21">
        <v>2014</v>
      </c>
      <c r="B7" s="27">
        <v>11.4</v>
      </c>
      <c r="C7" s="28">
        <v>70.099999999999994</v>
      </c>
      <c r="D7" s="41">
        <v>41.8</v>
      </c>
      <c r="E7" s="42">
        <v>5.0893000000000006</v>
      </c>
      <c r="F7" s="104">
        <f t="shared" si="0"/>
        <v>2.527299058653143</v>
      </c>
    </row>
    <row r="8" spans="1:6" ht="21.6" customHeight="1" x14ac:dyDescent="0.3">
      <c r="A8" s="21">
        <v>2015</v>
      </c>
      <c r="B8" s="27">
        <v>11.2</v>
      </c>
      <c r="C8" s="28">
        <v>66.3</v>
      </c>
      <c r="D8" s="41">
        <v>42.6</v>
      </c>
      <c r="E8" s="42">
        <v>4.9992000000000001</v>
      </c>
      <c r="F8" s="104">
        <f t="shared" si="0"/>
        <v>-2.939149560117285</v>
      </c>
    </row>
    <row r="9" spans="1:6" ht="21.6" customHeight="1" x14ac:dyDescent="0.3">
      <c r="A9" s="21">
        <v>2016</v>
      </c>
      <c r="B9" s="27">
        <v>10.5</v>
      </c>
      <c r="C9" s="28">
        <v>69.099999999999994</v>
      </c>
      <c r="D9" s="41">
        <v>43.1</v>
      </c>
      <c r="E9" s="42">
        <v>5.3860000000000001</v>
      </c>
      <c r="F9" s="104">
        <f t="shared" si="0"/>
        <v>3.544460856720824</v>
      </c>
    </row>
    <row r="10" spans="1:6" ht="21.6" customHeight="1" x14ac:dyDescent="0.3">
      <c r="A10" s="21">
        <v>2017</v>
      </c>
      <c r="B10" s="27">
        <v>10.8</v>
      </c>
      <c r="C10" s="28">
        <v>68.5</v>
      </c>
      <c r="D10" s="41">
        <v>43.9</v>
      </c>
      <c r="E10" s="42">
        <v>5.6681999999999997</v>
      </c>
      <c r="F10" s="104">
        <f t="shared" si="0"/>
        <v>-0.4742005813953461</v>
      </c>
    </row>
    <row r="11" spans="1:6" ht="21.6" customHeight="1" x14ac:dyDescent="0.3">
      <c r="A11" s="21">
        <v>2018</v>
      </c>
      <c r="B11" s="27">
        <v>13.6</v>
      </c>
      <c r="C11" s="28">
        <v>67.7</v>
      </c>
      <c r="D11" s="41">
        <v>44.7</v>
      </c>
      <c r="E11" s="42">
        <v>5.9595000000000002</v>
      </c>
      <c r="F11" s="104">
        <f t="shared" si="0"/>
        <v>-0.65051395007341561</v>
      </c>
    </row>
    <row r="12" spans="1:6" ht="21.6" customHeight="1" x14ac:dyDescent="0.3">
      <c r="A12" s="21">
        <v>2019</v>
      </c>
      <c r="B12" s="27">
        <v>14.3</v>
      </c>
      <c r="C12" s="28">
        <v>69.5</v>
      </c>
      <c r="D12" s="41">
        <v>45.8</v>
      </c>
      <c r="E12" s="42">
        <v>5.7528999999999995</v>
      </c>
      <c r="F12" s="104">
        <f t="shared" si="0"/>
        <v>1.0793798038696036</v>
      </c>
    </row>
    <row r="13" spans="1:6" ht="21.6" customHeight="1" x14ac:dyDescent="0.3">
      <c r="A13" s="21">
        <v>2020</v>
      </c>
      <c r="B13" s="27">
        <v>13.5</v>
      </c>
      <c r="C13" s="28">
        <v>65.099999999999994</v>
      </c>
      <c r="D13" s="41">
        <v>46.2</v>
      </c>
      <c r="E13" s="42">
        <v>5.2915000000000001</v>
      </c>
      <c r="F13" s="104">
        <f t="shared" si="0"/>
        <v>-7.5185735512629046</v>
      </c>
    </row>
    <row r="14" spans="1:6" ht="19.95" customHeight="1" x14ac:dyDescent="0.3">
      <c r="A14" s="17"/>
      <c r="B14" s="16"/>
      <c r="C14" s="16"/>
      <c r="D14" s="16"/>
      <c r="E14" s="16"/>
    </row>
  </sheetData>
  <mergeCells count="3">
    <mergeCell ref="A2:A3"/>
    <mergeCell ref="B2:C2"/>
    <mergeCell ref="D2:E2"/>
  </mergeCells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Brombory Rýže</vt:lpstr>
      <vt:lpstr>nový rozpočet</vt:lpstr>
      <vt:lpstr>e</vt:lpstr>
      <vt:lpstr>změna ceny -B</vt:lpstr>
      <vt:lpstr>změna ceny-B-ePD</vt:lpstr>
      <vt:lpstr>CENOVÁ ELASTICITA</vt:lpstr>
      <vt:lpstr>KŘÍŽOVÝ EFEKT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Shuli Chen</dc:creator>
  <cp:lastModifiedBy>Shuli Chen</cp:lastModifiedBy>
  <dcterms:created xsi:type="dcterms:W3CDTF">2025-10-23T11:06:17Z</dcterms:created>
  <dcterms:modified xsi:type="dcterms:W3CDTF">2025-11-03T09:56:31Z</dcterms:modified>
</cp:coreProperties>
</file>