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Cathy\Desktop\2026 All reports\2025\"/>
    </mc:Choice>
  </mc:AlternateContent>
  <xr:revisionPtr revIDLastSave="0" documentId="13_ncr:1_{F272D3A9-05F5-40A3-A25B-B8DBDEE829C9}" xr6:coauthVersionLast="47" xr6:coauthVersionMax="47" xr10:uidLastSave="{00000000-0000-0000-0000-000000000000}"/>
  <bookViews>
    <workbookView xWindow="22932" yWindow="-108" windowWidth="23256" windowHeight="12576" tabRatio="880" activeTab="3" xr2:uid="{87387E46-F0A2-460A-B4E6-2DF114ECCA82}"/>
  </bookViews>
  <sheets>
    <sheet name="úvodní stránka" sheetId="8" r:id="rId1"/>
    <sheet name="1. obecné prostředí" sheetId="13" r:id="rId2"/>
    <sheet name="2. odvětví" sheetId="14" r:id="rId3"/>
    <sheet name="3. interní" sheetId="15" r:id="rId4"/>
    <sheet name="4. stakeholdeři a změna" sheetId="16" r:id="rId5"/>
    <sheet name="5. Faktory prostředí" sheetId="5" r:id="rId6"/>
    <sheet name="5. SWOT" sheetId="1" r:id="rId7"/>
    <sheet name="5. TOWS matrix" sheetId="3" r:id="rId8"/>
    <sheet name="5. cíle - SMART" sheetId="4" r:id="rId9"/>
    <sheet name="List2" sheetId="7" state="hidden" r:id="rId10"/>
    <sheet name="List1" sheetId="6" state="hidden" r:id="rId11"/>
    <sheet name="6. Formulace strategie" sheetId="10" r:id="rId12"/>
    <sheet name="2.Analýza hodnotové křivky" sheetId="17" r:id="rId13"/>
    <sheet name="3. pracovní list" sheetId="18" r:id="rId14"/>
    <sheet name="4.Power-interest Matrix" sheetId="19" r:id="rId15"/>
    <sheet name="4.Členění inovací" sheetId="21" r:id="rId16"/>
    <sheet name="Sheet1" sheetId="23" r:id="rId17"/>
  </sheets>
  <definedNames>
    <definedName name="_xlnm._FilterDatabase" localSheetId="16" hidden="1">Sheet1!$C$1:$C$45</definedName>
    <definedName name="_xlnm.Print_Area" localSheetId="1">'1. obecné prostředí'!$A$1:$B$22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4" l="1"/>
  <c r="C8" i="4"/>
  <c r="C11" i="4"/>
  <c r="B11" i="4"/>
  <c r="A11" i="4"/>
  <c r="O3" i="1"/>
  <c r="A10" i="4"/>
  <c r="B10" i="4"/>
  <c r="B9" i="4"/>
  <c r="A9" i="4"/>
  <c r="B8" i="4"/>
  <c r="B7" i="4"/>
  <c r="B6" i="4"/>
  <c r="B4" i="4"/>
  <c r="B3" i="4"/>
  <c r="B5" i="4"/>
  <c r="B2" i="4"/>
  <c r="K6" i="21"/>
  <c r="L13" i="21"/>
  <c r="M13" i="21"/>
  <c r="N13" i="21"/>
  <c r="O13" i="21"/>
  <c r="P13" i="21"/>
  <c r="Q13" i="21"/>
  <c r="R13" i="21"/>
  <c r="S13" i="21"/>
  <c r="T13" i="21"/>
  <c r="L5" i="21" a="1"/>
  <c r="L5" i="21" s="1"/>
  <c r="C11" i="19"/>
  <c r="C10" i="19" s="1"/>
  <c r="C9" i="19" s="1"/>
  <c r="C8" i="19" s="1"/>
  <c r="C7" i="19" s="1"/>
  <c r="C6" i="19" s="1"/>
  <c r="C5" i="19" s="1"/>
  <c r="C4" i="19" s="1"/>
  <c r="C3" i="19" s="1"/>
  <c r="E13" i="19"/>
  <c r="F13" i="19" s="1"/>
  <c r="G13" i="19" s="1"/>
  <c r="H13" i="19" s="1"/>
  <c r="I13" i="19" s="1"/>
  <c r="J13" i="19" s="1"/>
  <c r="K13" i="19" s="1"/>
  <c r="L13" i="19" s="1"/>
  <c r="M13" i="19" s="1"/>
  <c r="F2" i="10"/>
  <c r="C14" i="10" l="1"/>
  <c r="C18" i="10" l="1"/>
  <c r="C16" i="10"/>
  <c r="C11" i="10"/>
  <c r="C8" i="10"/>
  <c r="C5" i="10"/>
  <c r="C2" i="10" l="1"/>
  <c r="E2" i="10" s="1"/>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1" i="7"/>
  <c r="B39" i="7"/>
  <c r="B40" i="7"/>
  <c r="D16" i="5"/>
  <c r="D17" i="5"/>
  <c r="D18" i="5"/>
  <c r="D19" i="5"/>
  <c r="D20" i="5"/>
  <c r="D21" i="5"/>
  <c r="D22" i="5"/>
  <c r="D23" i="5"/>
  <c r="D24" i="5"/>
  <c r="D25" i="5"/>
  <c r="D26" i="5"/>
  <c r="D27" i="5"/>
  <c r="D28" i="5"/>
  <c r="D29" i="5"/>
  <c r="D30" i="5"/>
  <c r="D31" i="5"/>
  <c r="D32" i="5"/>
  <c r="D33" i="5"/>
  <c r="D34" i="5"/>
  <c r="D35" i="5"/>
  <c r="D36" i="5"/>
  <c r="D37" i="5"/>
  <c r="D38" i="5"/>
  <c r="D39" i="5"/>
  <c r="D40" i="5"/>
  <c r="E15" i="5"/>
  <c r="E16" i="5"/>
  <c r="E17" i="5"/>
  <c r="E18" i="5"/>
  <c r="E19" i="5"/>
  <c r="E20" i="5"/>
  <c r="E21" i="5"/>
  <c r="E22" i="5"/>
  <c r="E23" i="5"/>
  <c r="E24" i="5"/>
  <c r="E25" i="5"/>
  <c r="E26" i="5"/>
  <c r="E27" i="5"/>
  <c r="E28" i="5"/>
  <c r="E29" i="5"/>
  <c r="F29" i="5" s="1"/>
  <c r="B27" i="7" s="1"/>
  <c r="E30" i="5"/>
  <c r="E31" i="5"/>
  <c r="E32" i="5"/>
  <c r="E33" i="5"/>
  <c r="E34" i="5"/>
  <c r="E35" i="5"/>
  <c r="E36" i="5"/>
  <c r="E37" i="5"/>
  <c r="F37" i="5" s="1"/>
  <c r="B35" i="7" s="1"/>
  <c r="E38" i="5"/>
  <c r="E39" i="5"/>
  <c r="E40" i="5"/>
  <c r="E6" i="5"/>
  <c r="E7" i="5"/>
  <c r="E8" i="5"/>
  <c r="E9" i="5"/>
  <c r="E10" i="5"/>
  <c r="E11" i="5"/>
  <c r="E12" i="5"/>
  <c r="E13" i="5"/>
  <c r="E14" i="5"/>
  <c r="E5" i="5"/>
  <c r="E4" i="5"/>
  <c r="E3" i="5"/>
  <c r="D15" i="5"/>
  <c r="D3" i="5"/>
  <c r="F35" i="5" l="1"/>
  <c r="B33" i="7" s="1"/>
  <c r="F27" i="5"/>
  <c r="B25" i="7" s="1"/>
  <c r="F18" i="5"/>
  <c r="B16" i="7" s="1"/>
  <c r="F3" i="5"/>
  <c r="B1" i="7" s="1"/>
  <c r="F15" i="5"/>
  <c r="B13" i="7" s="1"/>
  <c r="F19" i="5"/>
  <c r="B17" i="7" s="1"/>
  <c r="F33" i="5"/>
  <c r="B31" i="7" s="1"/>
  <c r="F25" i="5"/>
  <c r="B23" i="7" s="1"/>
  <c r="F34" i="5"/>
  <c r="B32" i="7" s="1"/>
  <c r="F26" i="5"/>
  <c r="B24" i="7" s="1"/>
  <c r="F38" i="5"/>
  <c r="B36" i="7" s="1"/>
  <c r="F30" i="5"/>
  <c r="B28" i="7" s="1"/>
  <c r="F22" i="5"/>
  <c r="B20" i="7" s="1"/>
  <c r="F21" i="5"/>
  <c r="B19" i="7" s="1"/>
  <c r="F17" i="5"/>
  <c r="B15" i="7" s="1"/>
  <c r="F40" i="5"/>
  <c r="B38" i="7" s="1"/>
  <c r="F32" i="5"/>
  <c r="B30" i="7" s="1"/>
  <c r="F24" i="5"/>
  <c r="B22" i="7" s="1"/>
  <c r="F16" i="5"/>
  <c r="B14" i="7" s="1"/>
  <c r="F39" i="5"/>
  <c r="B37" i="7" s="1"/>
  <c r="F31" i="5"/>
  <c r="B29" i="7" s="1"/>
  <c r="F23" i="5"/>
  <c r="B21" i="7" s="1"/>
  <c r="F36" i="5"/>
  <c r="B34" i="7" s="1"/>
  <c r="F28" i="5"/>
  <c r="B26" i="7" s="1"/>
  <c r="F20" i="5"/>
  <c r="B18" i="7" s="1"/>
  <c r="D8" i="5"/>
  <c r="F8" i="5" s="1"/>
  <c r="B6" i="7" s="1"/>
  <c r="D9" i="5"/>
  <c r="F9" i="5" s="1"/>
  <c r="B7" i="7" s="1"/>
  <c r="D10" i="5"/>
  <c r="F10" i="5" s="1"/>
  <c r="B8" i="7" s="1"/>
  <c r="D11" i="5"/>
  <c r="F11" i="5" s="1"/>
  <c r="B9" i="7" s="1"/>
  <c r="D12" i="5"/>
  <c r="F12" i="5" s="1"/>
  <c r="B10" i="7" s="1"/>
  <c r="D13" i="5"/>
  <c r="F13" i="5" s="1"/>
  <c r="B11" i="7" s="1"/>
  <c r="D14" i="5"/>
  <c r="F14" i="5" s="1"/>
  <c r="B12" i="7" s="1"/>
  <c r="D6" i="5"/>
  <c r="F6" i="5" s="1"/>
  <c r="B4" i="7" s="1"/>
  <c r="D7" i="5"/>
  <c r="F7" i="5" s="1"/>
  <c r="B5" i="7" s="1"/>
  <c r="D5" i="5"/>
  <c r="F5" i="5" s="1"/>
  <c r="B3" i="7" s="1"/>
  <c r="D4" i="5"/>
  <c r="F4" i="5" s="1"/>
  <c r="B2" i="7" s="1"/>
  <c r="G8" i="1" l="1"/>
  <c r="G18" i="1"/>
  <c r="B18" i="1"/>
  <c r="G19" i="1"/>
  <c r="G6" i="1"/>
  <c r="G20" i="1"/>
  <c r="B4" i="1"/>
  <c r="B8" i="1"/>
  <c r="G21" i="1"/>
  <c r="G23" i="1"/>
  <c r="G10" i="1"/>
  <c r="G17" i="1"/>
  <c r="B7" i="1"/>
  <c r="G22" i="1"/>
  <c r="G16" i="1"/>
  <c r="G7" i="1"/>
  <c r="G15" i="1"/>
  <c r="G5" i="1"/>
  <c r="C12" i="3"/>
  <c r="C13" i="3"/>
  <c r="E5" i="3"/>
  <c r="E2" i="3"/>
  <c r="E4" i="3"/>
  <c r="B15" i="1"/>
  <c r="E3" i="3"/>
  <c r="B17" i="1"/>
  <c r="B16" i="1"/>
  <c r="C23" i="3"/>
  <c r="C22" i="3"/>
  <c r="G4" i="1"/>
  <c r="B20" i="1"/>
  <c r="B6" i="1"/>
  <c r="C31" i="3"/>
  <c r="C30" i="3"/>
  <c r="C20" i="3"/>
  <c r="C25" i="3"/>
  <c r="E11" i="3"/>
  <c r="H9" i="3"/>
  <c r="C19" i="3"/>
  <c r="E8" i="3"/>
  <c r="C14" i="3"/>
  <c r="H8" i="3"/>
  <c r="C29" i="3"/>
  <c r="H6" i="3"/>
  <c r="E7" i="3"/>
  <c r="H5" i="3"/>
  <c r="C17" i="3"/>
  <c r="C18" i="3"/>
  <c r="H4" i="3"/>
  <c r="C24" i="3"/>
  <c r="E10" i="3"/>
  <c r="H10" i="3"/>
  <c r="E6" i="3"/>
  <c r="H7" i="3"/>
  <c r="C27" i="3"/>
  <c r="H3" i="3"/>
  <c r="H2" i="3"/>
  <c r="C21" i="3"/>
  <c r="C26" i="3"/>
  <c r="C16" i="3"/>
  <c r="H11" i="3"/>
  <c r="E9" i="3"/>
  <c r="C15" i="3"/>
  <c r="C28" i="3"/>
  <c r="G11" i="1"/>
  <c r="B11" i="1"/>
  <c r="B23" i="1"/>
  <c r="G13" i="1"/>
  <c r="B13" i="1"/>
  <c r="B5" i="1"/>
  <c r="B21" i="1"/>
  <c r="B10" i="1"/>
  <c r="G24" i="1"/>
  <c r="B24" i="1"/>
  <c r="B22" i="1"/>
  <c r="G12" i="1"/>
  <c r="B19" i="1"/>
  <c r="B12" i="1"/>
  <c r="G9" i="1"/>
  <c r="B9" i="1"/>
  <c r="J24" i="1" l="1"/>
  <c r="J13" i="1" l="1"/>
  <c r="J23" i="1" l="1"/>
  <c r="E22" i="1"/>
  <c r="J15" i="1"/>
  <c r="J19" i="1"/>
  <c r="J17" i="1"/>
  <c r="O14" i="1" s="1"/>
  <c r="E23" i="1"/>
  <c r="E19" i="1"/>
  <c r="J21" i="1"/>
  <c r="E21" i="1"/>
  <c r="E20" i="1"/>
  <c r="J16" i="1"/>
  <c r="E17" i="1"/>
  <c r="E18" i="1"/>
  <c r="J20" i="1"/>
  <c r="J22" i="1"/>
  <c r="E24" i="1"/>
  <c r="J18" i="1"/>
  <c r="E15" i="1"/>
  <c r="E16" i="1"/>
  <c r="J11" i="1" l="1"/>
  <c r="J8" i="1"/>
  <c r="J10" i="1"/>
  <c r="J9" i="1"/>
  <c r="J12" i="1"/>
  <c r="J5" i="1"/>
  <c r="J7" i="1"/>
  <c r="J6" i="1"/>
  <c r="Q14" i="1"/>
  <c r="B9" i="3" s="1"/>
  <c r="M14" i="1"/>
  <c r="E9" i="1"/>
  <c r="E5" i="1"/>
  <c r="E13" i="1"/>
  <c r="E7" i="1"/>
  <c r="E8" i="1"/>
  <c r="E10" i="1"/>
  <c r="E11" i="1"/>
  <c r="J4" i="1"/>
  <c r="E6" i="1"/>
  <c r="E12" i="1"/>
  <c r="E4" i="1" l="1"/>
  <c r="Q3" i="1" s="1"/>
  <c r="A9" i="3" s="1"/>
  <c r="M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dvorakji</author>
  </authors>
  <commentList>
    <comment ref="B17" authorId="0" shapeId="0" xr:uid="{4F75DCA4-11D5-42D6-9886-5BF378BA2BF8}">
      <text>
        <r>
          <rPr>
            <b/>
            <sz val="9"/>
            <color indexed="81"/>
            <rFont val="Tahoma"/>
            <family val="2"/>
            <charset val="238"/>
          </rPr>
          <t>dvorakji:</t>
        </r>
        <r>
          <rPr>
            <sz val="9"/>
            <color indexed="81"/>
            <rFont val="Tahoma"/>
            <family val="2"/>
            <charset val="238"/>
          </rPr>
          <t xml:space="preserve">
např.: výroba ručně šitých bot nebo maloobchodní prodej zeleniny nebo Tvorba účetního softweru na míru ap.
Snažte se, aby co nejpřesněji odpovídal zaměření organizace. Šíře by měla odpovídat šíři zaměření společnosti.
Např. Výroba luxusních kabelek - pokud vyrábí hlavně luxusní kabelky.
Ale výroba kabelek - pokud vyrábí celé spektrum od nejlevnějších po luxusní</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Stanislav Tripes</author>
  </authors>
  <commentList>
    <comment ref="D3" authorId="0" shapeId="0" xr:uid="{2611385C-E5C2-4295-841F-AC4EF977BC9F}">
      <text>
        <r>
          <rPr>
            <b/>
            <sz val="9"/>
            <color rgb="FF000000"/>
            <rFont val="Tahoma"/>
            <family val="2"/>
            <charset val="238"/>
          </rPr>
          <t>Stanislav Tripes:</t>
        </r>
        <r>
          <rPr>
            <sz val="9"/>
            <color rgb="FF000000"/>
            <rFont val="Tahoma"/>
            <family val="2"/>
            <charset val="238"/>
          </rPr>
          <t xml:space="preserve">
</t>
        </r>
        <r>
          <rPr>
            <sz val="9"/>
            <color rgb="FF000000"/>
            <rFont val="Tahoma"/>
            <family val="2"/>
            <charset val="238"/>
          </rPr>
          <t xml:space="preserve">hodnotí se 4 - výrazná silná stránka
</t>
        </r>
        <r>
          <rPr>
            <sz val="9"/>
            <color rgb="FF000000"/>
            <rFont val="Tahoma"/>
            <family val="2"/>
            <charset val="238"/>
          </rPr>
          <t>3 - méněvýrazná silná stránka</t>
        </r>
      </text>
    </comment>
    <comment ref="I3" authorId="0" shapeId="0" xr:uid="{911D8B55-89E5-4110-AA73-B4950D6EE91C}">
      <text>
        <r>
          <rPr>
            <b/>
            <sz val="9"/>
            <color rgb="FF000000"/>
            <rFont val="Tahoma"/>
            <family val="2"/>
            <charset val="238"/>
          </rPr>
          <t>Stanislav Tripes:</t>
        </r>
        <r>
          <rPr>
            <sz val="9"/>
            <color rgb="FF000000"/>
            <rFont val="Tahoma"/>
            <family val="2"/>
            <charset val="238"/>
          </rPr>
          <t xml:space="preserve">
</t>
        </r>
        <r>
          <rPr>
            <sz val="9"/>
            <color rgb="FF000000"/>
            <rFont val="Tahoma"/>
            <family val="2"/>
            <charset val="238"/>
          </rPr>
          <t xml:space="preserve">hodnotí se 2 - méně výrazná slabá stránka
</t>
        </r>
        <r>
          <rPr>
            <sz val="9"/>
            <color rgb="FF000000"/>
            <rFont val="Tahoma"/>
            <family val="2"/>
            <charset val="238"/>
          </rPr>
          <t xml:space="preserve">1 - výrazná slabá stránka
</t>
        </r>
      </text>
    </comment>
    <comment ref="M3" authorId="0" shapeId="0" xr:uid="{74A545EE-9DB0-434F-9A0D-B31CE0111AA1}">
      <text>
        <r>
          <rPr>
            <b/>
            <sz val="9"/>
            <color rgb="FF000000"/>
            <rFont val="Tahoma"/>
            <family val="2"/>
            <charset val="238"/>
          </rPr>
          <t>Stanislav Tripes:</t>
        </r>
        <r>
          <rPr>
            <sz val="9"/>
            <color rgb="FF000000"/>
            <rFont val="Tahoma"/>
            <family val="2"/>
            <charset val="238"/>
          </rPr>
          <t xml:space="preserve">
</t>
        </r>
        <r>
          <rPr>
            <sz val="9"/>
            <color rgb="FF000000"/>
            <rFont val="Tahoma"/>
            <family val="2"/>
            <charset val="238"/>
          </rPr>
          <t>musí být v součtu rovno 1</t>
        </r>
      </text>
    </comment>
    <comment ref="D14" authorId="0" shapeId="0" xr:uid="{B592D10B-00C8-4979-88E0-703AC5EC4A9B}">
      <text>
        <r>
          <rPr>
            <b/>
            <sz val="9"/>
            <color rgb="FF000000"/>
            <rFont val="Tahoma"/>
            <family val="2"/>
            <charset val="238"/>
          </rPr>
          <t>Stanislav Tripes:</t>
        </r>
        <r>
          <rPr>
            <sz val="9"/>
            <color rgb="FF000000"/>
            <rFont val="Tahoma"/>
            <family val="2"/>
            <charset val="238"/>
          </rPr>
          <t xml:space="preserve">
</t>
        </r>
        <r>
          <rPr>
            <sz val="9"/>
            <color rgb="FF000000"/>
            <rFont val="Tahoma"/>
            <family val="2"/>
            <charset val="238"/>
          </rPr>
          <t xml:space="preserve">Hodnotí se 4- výrazná příležitost
</t>
        </r>
        <r>
          <rPr>
            <sz val="9"/>
            <color rgb="FF000000"/>
            <rFont val="Tahoma"/>
            <family val="2"/>
            <charset val="238"/>
          </rPr>
          <t>3 - méně výrazná příležitost</t>
        </r>
      </text>
    </comment>
    <comment ref="I14" authorId="0" shapeId="0" xr:uid="{27E1D2C9-BB3E-4F4C-833F-C9AA8C5435E9}">
      <text>
        <r>
          <rPr>
            <b/>
            <sz val="9"/>
            <color rgb="FF000000"/>
            <rFont val="Tahoma"/>
            <family val="2"/>
            <charset val="238"/>
          </rPr>
          <t>Stanislav Tripes:</t>
        </r>
        <r>
          <rPr>
            <sz val="9"/>
            <color rgb="FF000000"/>
            <rFont val="Tahoma"/>
            <family val="2"/>
            <charset val="238"/>
          </rPr>
          <t xml:space="preserve">
</t>
        </r>
        <r>
          <rPr>
            <sz val="9"/>
            <color rgb="FF000000"/>
            <rFont val="Tahoma"/>
            <family val="2"/>
            <charset val="238"/>
          </rPr>
          <t xml:space="preserve">hodnotí se 2 - méně výrazná hrozba
</t>
        </r>
        <r>
          <rPr>
            <sz val="9"/>
            <color rgb="FF000000"/>
            <rFont val="Tahoma"/>
            <family val="2"/>
            <charset val="238"/>
          </rPr>
          <t>1 - výrazná hrozba</t>
        </r>
      </text>
    </comment>
    <comment ref="M14" authorId="0" shapeId="0" xr:uid="{E3AB6B23-4C17-4DB2-89D2-8EDDE21A2223}">
      <text>
        <r>
          <rPr>
            <b/>
            <sz val="9"/>
            <color rgb="FF000000"/>
            <rFont val="Tahoma"/>
            <family val="2"/>
            <charset val="238"/>
          </rPr>
          <t>Stanislav Tripes:</t>
        </r>
        <r>
          <rPr>
            <sz val="9"/>
            <color rgb="FF000000"/>
            <rFont val="Tahoma"/>
            <family val="2"/>
            <charset val="238"/>
          </rPr>
          <t xml:space="preserve">
</t>
        </r>
        <r>
          <rPr>
            <sz val="9"/>
            <color rgb="FF000000"/>
            <rFont val="Tahoma"/>
            <family val="2"/>
            <charset val="238"/>
          </rPr>
          <t>musí být v součtu rovno 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Stanislav Tripes</author>
  </authors>
  <commentList>
    <comment ref="E13" authorId="0" shapeId="0" xr:uid="{8ED75424-ABFF-470B-AF47-551A2EC76977}">
      <text>
        <r>
          <rPr>
            <b/>
            <sz val="9"/>
            <color indexed="81"/>
            <rFont val="Tahoma"/>
            <family val="2"/>
            <charset val="238"/>
          </rPr>
          <t>Stanislav Tripes:</t>
        </r>
        <r>
          <rPr>
            <sz val="9"/>
            <color indexed="81"/>
            <rFont val="Tahoma"/>
            <family val="2"/>
            <charset val="238"/>
          </rPr>
          <t xml:space="preserve">
Například zvýšení prodeje v zahraničí</t>
        </r>
      </text>
    </comment>
    <comment ref="F13" authorId="0" shapeId="0" xr:uid="{C481787F-7F84-41CC-865E-76977E2C5A2E}">
      <text>
        <r>
          <rPr>
            <b/>
            <sz val="9"/>
            <color indexed="81"/>
            <rFont val="Tahoma"/>
            <family val="2"/>
            <charset val="238"/>
          </rPr>
          <t>Stanislav Tripes:</t>
        </r>
        <r>
          <rPr>
            <sz val="9"/>
            <color indexed="81"/>
            <rFont val="Tahoma"/>
            <family val="2"/>
            <charset val="238"/>
          </rPr>
          <t xml:space="preserve">
Například O1, O2, S5</t>
        </r>
      </text>
    </comment>
    <comment ref="F14" authorId="0" shapeId="0" xr:uid="{C13D4474-BDE0-4904-92F8-7C5A6B3ED2AA}">
      <text>
        <r>
          <rPr>
            <b/>
            <sz val="9"/>
            <color indexed="81"/>
            <rFont val="Tahoma"/>
            <family val="2"/>
            <charset val="238"/>
          </rPr>
          <t>Stanislav Tripes:</t>
        </r>
        <r>
          <rPr>
            <sz val="9"/>
            <color indexed="81"/>
            <rFont val="Tahoma"/>
            <family val="2"/>
            <charset val="238"/>
          </rPr>
          <t xml:space="preserve">
Například O1, O2, S5</t>
        </r>
      </text>
    </comment>
    <comment ref="F16" authorId="0" shapeId="0" xr:uid="{C440B654-59C7-4475-92B7-6762B2C59E84}">
      <text>
        <r>
          <rPr>
            <b/>
            <sz val="9"/>
            <color indexed="81"/>
            <rFont val="Tahoma"/>
            <family val="2"/>
            <charset val="238"/>
          </rPr>
          <t>Stanislav Tripes:</t>
        </r>
        <r>
          <rPr>
            <sz val="9"/>
            <color indexed="81"/>
            <rFont val="Tahoma"/>
            <family val="2"/>
            <charset val="238"/>
          </rPr>
          <t xml:space="preserve">
Například O1, O2, S5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Stanislav Tripes</author>
  </authors>
  <commentList>
    <comment ref="A1" authorId="0" shapeId="0" xr:uid="{37F323C5-BD47-4BA7-8410-23900EED3B23}">
      <text>
        <r>
          <rPr>
            <b/>
            <sz val="9"/>
            <color indexed="81"/>
            <rFont val="Tahoma"/>
            <family val="2"/>
            <charset val="238"/>
          </rPr>
          <t>Stanislav Tripes:</t>
        </r>
        <r>
          <rPr>
            <sz val="9"/>
            <color indexed="81"/>
            <rFont val="Tahoma"/>
            <family val="2"/>
            <charset val="238"/>
          </rPr>
          <t xml:space="preserve">
Například SO1
</t>
        </r>
      </text>
    </comment>
    <comment ref="B1" authorId="0" shapeId="0" xr:uid="{F4D98E6E-BC44-474E-A7CD-0F632545DDD6}">
      <text>
        <r>
          <rPr>
            <b/>
            <sz val="9"/>
            <color indexed="81"/>
            <rFont val="Tahoma"/>
            <family val="2"/>
            <charset val="238"/>
          </rPr>
          <t>Stanislav Tripes:</t>
        </r>
        <r>
          <rPr>
            <sz val="9"/>
            <color indexed="81"/>
            <rFont val="Tahoma"/>
            <family val="2"/>
            <charset val="238"/>
          </rPr>
          <t xml:space="preserve">
Například O1, O2, S5</t>
        </r>
      </text>
    </comment>
    <comment ref="C1" authorId="0" shapeId="0" xr:uid="{5458E1B1-8336-4C62-9D75-641C792712BA}">
      <text>
        <r>
          <rPr>
            <b/>
            <sz val="9"/>
            <color indexed="81"/>
            <rFont val="Tahoma"/>
            <family val="2"/>
            <charset val="238"/>
          </rPr>
          <t>Stanislav Tripes:</t>
        </r>
        <r>
          <rPr>
            <sz val="9"/>
            <color indexed="81"/>
            <rFont val="Tahoma"/>
            <family val="2"/>
            <charset val="238"/>
          </rPr>
          <t xml:space="preserve">
Například zvýšení prodeje v zahraničí
</t>
        </r>
      </text>
    </comment>
    <comment ref="J1" authorId="0" shapeId="0" xr:uid="{8DBB1644-130A-4D68-80D9-7ECBF422D60C}">
      <text>
        <r>
          <rPr>
            <b/>
            <sz val="9"/>
            <color indexed="81"/>
            <rFont val="Tahoma"/>
            <family val="2"/>
            <charset val="238"/>
          </rPr>
          <t>Stanislav Tripes:</t>
        </r>
        <r>
          <rPr>
            <sz val="9"/>
            <color indexed="81"/>
            <rFont val="Tahoma"/>
            <family val="2"/>
            <charset val="238"/>
          </rPr>
          <t xml:space="preserve">
Cíle, které musí být splněny k dosažení tohoto cíle</t>
        </r>
      </text>
    </comment>
    <comment ref="K1" authorId="0" shapeId="0" xr:uid="{B2F5432A-67B7-4439-8D56-CEC458FE870F}">
      <text>
        <r>
          <rPr>
            <b/>
            <sz val="9"/>
            <color indexed="81"/>
            <rFont val="Tahoma"/>
            <family val="2"/>
            <charset val="238"/>
          </rPr>
          <t>Stanislav Tripes:</t>
        </r>
        <r>
          <rPr>
            <sz val="9"/>
            <color indexed="81"/>
            <rFont val="Tahoma"/>
            <family val="2"/>
            <charset val="238"/>
          </rPr>
          <t xml:space="preserve">
Cíle, které na tento cíl navazují.</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futureMetadata name="XLDAPR" count="1">
    <bk>
      <extLst>
        <ext uri="{bdbb8cdc-fa1e-496e-a857-3c3f30c029c3}">
          <xda:dynamicArrayProperties fDynamic="1" fCollapsed="0"/>
        </ext>
      </extLst>
    </bk>
  </futureMetadata>
  <cellMetadata count="1">
    <bk>
      <rc t="2" v="0"/>
    </bk>
  </cellMetadata>
  <valueMetadata count="3">
    <bk>
      <rc t="1" v="0"/>
    </bk>
    <bk>
      <rc t="1" v="1"/>
    </bk>
    <bk>
      <rc t="1" v="2"/>
    </bk>
  </valueMetadata>
</metadata>
</file>

<file path=xl/sharedStrings.xml><?xml version="1.0" encoding="utf-8"?>
<sst xmlns="http://schemas.openxmlformats.org/spreadsheetml/2006/main" count="720" uniqueCount="429">
  <si>
    <t>Silné stránky</t>
  </si>
  <si>
    <t>váhy</t>
  </si>
  <si>
    <t>body</t>
  </si>
  <si>
    <t>vážené skóre</t>
  </si>
  <si>
    <t>Slabé stránky</t>
  </si>
  <si>
    <t>součet váhy</t>
  </si>
  <si>
    <t>Vážené skóre interní prostředí</t>
  </si>
  <si>
    <t>Příležitosti</t>
  </si>
  <si>
    <t>Hrozby</t>
  </si>
  <si>
    <t xml:space="preserve">součet váhy </t>
  </si>
  <si>
    <t>Vážené skóre externí prostředí</t>
  </si>
  <si>
    <t>Poznámky k faktorům</t>
  </si>
  <si>
    <t>Název faktoru</t>
  </si>
  <si>
    <t>S1</t>
  </si>
  <si>
    <t>S2</t>
  </si>
  <si>
    <t>S3</t>
  </si>
  <si>
    <t>S4</t>
  </si>
  <si>
    <t>S5</t>
  </si>
  <si>
    <t>S6</t>
  </si>
  <si>
    <t>S7</t>
  </si>
  <si>
    <t>S8</t>
  </si>
  <si>
    <t>W1</t>
  </si>
  <si>
    <t>W2</t>
  </si>
  <si>
    <t>W3</t>
  </si>
  <si>
    <t>W4</t>
  </si>
  <si>
    <t>W5</t>
  </si>
  <si>
    <t>W6</t>
  </si>
  <si>
    <t>W7</t>
  </si>
  <si>
    <t>W8</t>
  </si>
  <si>
    <t>W9</t>
  </si>
  <si>
    <t>O1</t>
  </si>
  <si>
    <t>O2</t>
  </si>
  <si>
    <t>O3</t>
  </si>
  <si>
    <t>O4</t>
  </si>
  <si>
    <t>O5</t>
  </si>
  <si>
    <t>O6</t>
  </si>
  <si>
    <t>O7</t>
  </si>
  <si>
    <t>O8</t>
  </si>
  <si>
    <t>T1</t>
  </si>
  <si>
    <t>T2</t>
  </si>
  <si>
    <t>T3</t>
  </si>
  <si>
    <t>T4</t>
  </si>
  <si>
    <t>T5</t>
  </si>
  <si>
    <t>T6</t>
  </si>
  <si>
    <t>T7</t>
  </si>
  <si>
    <t>T8</t>
  </si>
  <si>
    <t>T9</t>
  </si>
  <si>
    <t>TOWS MATRIX</t>
  </si>
  <si>
    <t>SO strategie</t>
  </si>
  <si>
    <t>ST strategie</t>
  </si>
  <si>
    <t>SO1</t>
  </si>
  <si>
    <t>ST1</t>
  </si>
  <si>
    <t>SO2</t>
  </si>
  <si>
    <t>ST2</t>
  </si>
  <si>
    <t>SO3</t>
  </si>
  <si>
    <t>ST3</t>
  </si>
  <si>
    <t>SO4</t>
  </si>
  <si>
    <t>ST4</t>
  </si>
  <si>
    <t>SO5</t>
  </si>
  <si>
    <t>ST5</t>
  </si>
  <si>
    <t>SO6</t>
  </si>
  <si>
    <t>ST6</t>
  </si>
  <si>
    <t>WO strategie</t>
  </si>
  <si>
    <t>WT strategie</t>
  </si>
  <si>
    <t>WO1</t>
  </si>
  <si>
    <t>WT1</t>
  </si>
  <si>
    <t>WO2</t>
  </si>
  <si>
    <t>WT2</t>
  </si>
  <si>
    <t>WO3</t>
  </si>
  <si>
    <t>WT3</t>
  </si>
  <si>
    <t>WO4</t>
  </si>
  <si>
    <t>WT4</t>
  </si>
  <si>
    <t>WO5</t>
  </si>
  <si>
    <t>WT5</t>
  </si>
  <si>
    <t>WO6</t>
  </si>
  <si>
    <t>WT6</t>
  </si>
  <si>
    <t>Kód cíle</t>
  </si>
  <si>
    <t>Název cíle</t>
  </si>
  <si>
    <t>Priorita cíle</t>
  </si>
  <si>
    <t>Specific</t>
  </si>
  <si>
    <t>Measurable</t>
  </si>
  <si>
    <t>Time-bound</t>
  </si>
  <si>
    <t>Dílčí cíle (kód)</t>
  </si>
  <si>
    <t>Návazné cíle (kód)</t>
  </si>
  <si>
    <t>SO7</t>
  </si>
  <si>
    <t>SO8</t>
  </si>
  <si>
    <t>SO9</t>
  </si>
  <si>
    <t>ST7</t>
  </si>
  <si>
    <t>ST8</t>
  </si>
  <si>
    <t>ST9</t>
  </si>
  <si>
    <t>WO7</t>
  </si>
  <si>
    <t>WO8</t>
  </si>
  <si>
    <t>WO9</t>
  </si>
  <si>
    <t>WT7</t>
  </si>
  <si>
    <t>WT8</t>
  </si>
  <si>
    <t>WT9</t>
  </si>
  <si>
    <t>S9</t>
  </si>
  <si>
    <t>S10</t>
  </si>
  <si>
    <t>W10</t>
  </si>
  <si>
    <t>O9</t>
  </si>
  <si>
    <t>Výsledný kvadrant</t>
  </si>
  <si>
    <t>Zařazení</t>
  </si>
  <si>
    <t>Silná stránka</t>
  </si>
  <si>
    <t>Slabá stránka</t>
  </si>
  <si>
    <t>Příležitost</t>
  </si>
  <si>
    <t>Hrozba</t>
  </si>
  <si>
    <t>Kód</t>
  </si>
  <si>
    <t>O10</t>
  </si>
  <si>
    <t>T10</t>
  </si>
  <si>
    <t>kód</t>
  </si>
  <si>
    <t>Prioritní strategie</t>
  </si>
  <si>
    <t>Komentář - MAP přístup (Monitor, Analyse, Predict)</t>
  </si>
  <si>
    <t>Faktory</t>
  </si>
  <si>
    <t>Strategický management</t>
  </si>
  <si>
    <t>Semestrální práce</t>
  </si>
  <si>
    <t>Jména a příjmení členů týmu</t>
  </si>
  <si>
    <t>Velikost zvolené organizace (zaměstnanci nebo tržby)</t>
  </si>
  <si>
    <t>ZÁKLADNÍ PŘEDSTAVENÍ ORGANIZACE A ANALÝZA OBECNÉHO PROSTŘEDÍ</t>
  </si>
  <si>
    <t>Počet znaků</t>
  </si>
  <si>
    <t>Body celkem</t>
  </si>
  <si>
    <t>Napsaných</t>
  </si>
  <si>
    <t>Zbývá do maxima</t>
  </si>
  <si>
    <t>Počet bodů (max. 2)</t>
  </si>
  <si>
    <t>Znaky</t>
  </si>
  <si>
    <t>Seznam využitých informačních zdrojů</t>
  </si>
  <si>
    <t>FORMULACE CÍLŮ A STRATEGIE K NIM VEDOUCÍ, IMPLEMENTACE STRATEGIE</t>
  </si>
  <si>
    <t>Počet bodů (max. 3)</t>
  </si>
  <si>
    <t xml:space="preserve">Na základě přechozích informací formulujte strategii na korporátní a business úrovni,  propojte je cíli definovanými z TOWS matice. </t>
  </si>
  <si>
    <t>Jak tvorba je konkurenční výhody propojena se strategií formulovanou na business úrovni?</t>
  </si>
  <si>
    <t>Diskutujte výsledky hodnotového řetězce spolu se zvolenou strategií (nízkonákladová, diferenciační, fokálně nízkonákladová, fokálně diferenciační, hybridní či stuck-in-the middle). Diskutujte vámi formulovanou strategii, nikoliv současnou strategii vybrané organizace.</t>
  </si>
  <si>
    <t>Pomocí segmentačních hledisek (demografické, geografické, psychografické a behaviorální) popište co nejpřesněji cílovou skupinu zákazníků a jejich požadavky. V případě, že operujete na B2B trhu, použijte segmentační kritéria pro tento trh.</t>
  </si>
  <si>
    <t>Cílem této části semestrální práce je formulovat cíle organizace na základě výstupů SWOT analýzy a NOVOU strategii organizace na všech třech úrovních spolu s kroky implementace této strategie.</t>
  </si>
  <si>
    <t>Hlavní obor činnosti  organizace (slovy co jí živí, ne CZ-NACE)</t>
  </si>
  <si>
    <t>Diskutujte rozložení operativní aktivit (vývoj produktu, marketing, materiály, produkce, prodej, servis) vzhledem ke zvolenému zaměření na funkční úrovni tvorby strategie (zaměření na inovace, kvalitu, zákazníka či efektivnost) v souvislosti s konkurenční výhodou u vámi nově formulované strategie.</t>
  </si>
  <si>
    <t>Popište kroky implementace vámi formulované strategie pomocí struktury, kultury a kontroly a jejich konkrétního nastavení. Představte, jak se toto nastavení bude projevovat v operativních aktivitách (přeměna vstupů na výstupy) s cílem naplnění funkční a business strategie?</t>
  </si>
  <si>
    <t xml:space="preserve">Cíle a strategie musí být formulovány tak, aby zde byla jasná provázanost s prostředím organizace, strategií na korporátní a business úrovni (typologie dle M. E. Portera). </t>
  </si>
  <si>
    <t>Co je podstatou konkurenční výhody, jaké klíčové schopnosti bude využívat vaše organizace pro dosažení zvolené strategie. Kde v hodnotovém řetězci dochází k tvorbě konkurenční výhody?</t>
  </si>
  <si>
    <t xml:space="preserve">V rámci hodnotového řetězce porovnejte v každé jeho části náklady a přidanou hodnotu. Identifikujte, kde chcete tvořit základ konkurenční výhody, respektive, které procesy mají pro její tvoření největší význam. </t>
  </si>
  <si>
    <t>Zdůvodněte závěry PEST analýzy a s použitím metody přístupu MAP diskutujte nejzávažnější výsledky.</t>
  </si>
  <si>
    <t>ANALÝZA ODVĚTVÍ A KONKURENČNÍHO PROSTŘEDÍ</t>
  </si>
  <si>
    <t>Charakterizujte misi vaší organizace.</t>
  </si>
  <si>
    <r>
      <t xml:space="preserve">Pokud je má organizace veřejně deklarované, </t>
    </r>
    <r>
      <rPr>
        <b/>
        <sz val="11"/>
        <color theme="1"/>
        <rFont val="Calibri"/>
        <family val="2"/>
        <charset val="238"/>
        <scheme val="minor"/>
      </rPr>
      <t>posuďte</t>
    </r>
    <r>
      <rPr>
        <sz val="11"/>
        <color theme="1"/>
        <rFont val="Calibri"/>
        <family val="2"/>
        <charset val="238"/>
        <scheme val="minor"/>
      </rPr>
      <t xml:space="preserve"> jejich </t>
    </r>
    <r>
      <rPr>
        <b/>
        <sz val="11"/>
        <color theme="1"/>
        <rFont val="Calibri"/>
        <family val="2"/>
        <charset val="238"/>
        <scheme val="minor"/>
      </rPr>
      <t>vhodnost</t>
    </r>
    <r>
      <rPr>
        <sz val="11"/>
        <color theme="1"/>
        <rFont val="Calibri"/>
        <family val="2"/>
        <charset val="238"/>
        <scheme val="minor"/>
      </rPr>
      <t xml:space="preserve">. Pokud nemá pak </t>
    </r>
    <r>
      <rPr>
        <b/>
        <sz val="11"/>
        <color theme="1"/>
        <rFont val="Calibri"/>
        <family val="2"/>
        <charset val="238"/>
        <scheme val="minor"/>
      </rPr>
      <t>navrhněte</t>
    </r>
    <r>
      <rPr>
        <sz val="11"/>
        <color theme="1"/>
        <rFont val="Calibri"/>
        <family val="2"/>
        <charset val="238"/>
        <scheme val="minor"/>
      </rPr>
      <t>.</t>
    </r>
  </si>
  <si>
    <t xml:space="preserve">Charakterizujte operační prostor organizace. </t>
  </si>
  <si>
    <t>Věcně, prostorově, časově.</t>
  </si>
  <si>
    <r>
      <t xml:space="preserve">Které z částí PEST analýzy jsou pro vaši organizaci </t>
    </r>
    <r>
      <rPr>
        <b/>
        <sz val="11"/>
        <color theme="1"/>
        <rFont val="Calibri"/>
        <family val="2"/>
        <charset val="238"/>
        <scheme val="minor"/>
      </rPr>
      <t>příležitostí/hrozbou</t>
    </r>
    <r>
      <rPr>
        <sz val="11"/>
        <color theme="1"/>
        <rFont val="Calibri"/>
        <family val="2"/>
        <charset val="238"/>
        <scheme val="minor"/>
      </rPr>
      <t xml:space="preserve"> a případně které naopak nepředstavují významnou změnotvornou sílu </t>
    </r>
    <r>
      <rPr>
        <b/>
        <sz val="11"/>
        <color theme="1"/>
        <rFont val="Calibri"/>
        <family val="2"/>
        <charset val="238"/>
        <scheme val="minor"/>
      </rPr>
      <t>a PROČ</t>
    </r>
    <r>
      <rPr>
        <sz val="11"/>
        <color theme="1"/>
        <rFont val="Calibri"/>
        <family val="2"/>
        <charset val="238"/>
        <scheme val="minor"/>
      </rPr>
      <t>?</t>
    </r>
  </si>
  <si>
    <t>Vyhodnoťte důležitost jednotlivých sil dle Porterova modelu pěti sil z hlediska vlivu na vaši organizaci.</t>
  </si>
  <si>
    <r>
      <t xml:space="preserve">S pomocí přístupu </t>
    </r>
    <r>
      <rPr>
        <b/>
        <sz val="11"/>
        <color theme="1"/>
        <rFont val="Calibri"/>
        <family val="2"/>
        <charset val="238"/>
        <scheme val="minor"/>
      </rPr>
      <t>MAP</t>
    </r>
    <r>
      <rPr>
        <sz val="11"/>
        <color theme="1"/>
        <rFont val="Calibri"/>
        <family val="2"/>
        <charset val="238"/>
        <scheme val="minor"/>
      </rPr>
      <t xml:space="preserve"> definujte </t>
    </r>
    <r>
      <rPr>
        <b/>
        <sz val="11"/>
        <color theme="1"/>
        <rFont val="Calibri"/>
        <family val="2"/>
        <charset val="238"/>
        <scheme val="minor"/>
      </rPr>
      <t>HLAVNÍ HROZBY</t>
    </r>
    <r>
      <rPr>
        <sz val="11"/>
        <color theme="1"/>
        <rFont val="Calibri"/>
        <family val="2"/>
        <charset val="238"/>
        <scheme val="minor"/>
      </rPr>
      <t xml:space="preserve"> pro budoucí působení organizace</t>
    </r>
  </si>
  <si>
    <t>Vidíte prostor pro uplatnění strategie modrého oceánu? Diskutujte nejvýznamnější atributy produktu.</t>
  </si>
  <si>
    <t>Naznačte POMOCÍ OBRÁZKU hodnotové křivky pro nejvýznamnější KONKURENČNÍ PRODUKTY a porovnejte je s předpokládaným PŘÁNÍM ZÁKAZNÍKŮ.</t>
  </si>
  <si>
    <t>Působí v daném odvětví globalizační trendy? Které globalizačních trendů (metoda 4C) podporují nebo brzdí globalizaci?</t>
  </si>
  <si>
    <r>
      <rPr>
        <b/>
        <sz val="11"/>
        <color theme="1"/>
        <rFont val="Calibri"/>
        <family val="2"/>
        <charset val="238"/>
        <scheme val="minor"/>
      </rPr>
      <t>Jaké</t>
    </r>
    <r>
      <rPr>
        <sz val="11"/>
        <color theme="1"/>
        <rFont val="Calibri"/>
        <family val="2"/>
        <charset val="238"/>
        <scheme val="minor"/>
      </rPr>
      <t xml:space="preserve"> lze v odvětví očekávat </t>
    </r>
    <r>
      <rPr>
        <b/>
        <sz val="11"/>
        <color theme="1"/>
        <rFont val="Calibri"/>
        <family val="2"/>
        <charset val="238"/>
        <scheme val="minor"/>
      </rPr>
      <t>změny</t>
    </r>
    <r>
      <rPr>
        <sz val="11"/>
        <color theme="1"/>
        <rFont val="Calibri"/>
        <family val="2"/>
        <charset val="238"/>
        <scheme val="minor"/>
      </rPr>
      <t xml:space="preserve"> působením globalizačních trendů na úrovni Customers, Country, Competition, Costs?</t>
    </r>
  </si>
  <si>
    <t>Nesnažte se rozdělit vaši organizaci přesně dle Porterova diagramu, ale sestavte diagram optimálně vystihující vaší organizaci.</t>
  </si>
  <si>
    <t>ANALÝZA INTERNÍHO PROSTŘEDÍ</t>
  </si>
  <si>
    <t xml:space="preserve">Zhodnoťte význam zdrojů pro předmět činnosti organizace a porovnejte reálný stav s optimálním. </t>
  </si>
  <si>
    <r>
      <t xml:space="preserve">S pomocí přístupu </t>
    </r>
    <r>
      <rPr>
        <b/>
        <sz val="11"/>
        <color theme="1"/>
        <rFont val="Calibri"/>
        <family val="2"/>
        <charset val="238"/>
        <scheme val="minor"/>
      </rPr>
      <t>MAP</t>
    </r>
    <r>
      <rPr>
        <sz val="11"/>
        <color theme="1"/>
        <rFont val="Calibri"/>
        <family val="2"/>
        <charset val="238"/>
        <scheme val="minor"/>
      </rPr>
      <t xml:space="preserve"> definujte </t>
    </r>
    <r>
      <rPr>
        <b/>
        <sz val="11"/>
        <color theme="1"/>
        <rFont val="Calibri"/>
        <family val="2"/>
        <charset val="238"/>
        <scheme val="minor"/>
      </rPr>
      <t>SILNÉ A SLABÉ STRÁNKY</t>
    </r>
    <r>
      <rPr>
        <sz val="11"/>
        <color theme="1"/>
        <rFont val="Calibri"/>
        <family val="2"/>
        <charset val="238"/>
        <scheme val="minor"/>
      </rPr>
      <t xml:space="preserve"> pro působení organizace.</t>
    </r>
  </si>
  <si>
    <r>
      <rPr>
        <b/>
        <sz val="11"/>
        <color theme="1"/>
        <rFont val="Calibri"/>
        <family val="2"/>
        <charset val="238"/>
        <scheme val="minor"/>
      </rPr>
      <t>Porovnejte</t>
    </r>
    <r>
      <rPr>
        <sz val="11"/>
        <color theme="1"/>
        <rFont val="Calibri"/>
        <family val="2"/>
        <charset val="238"/>
        <scheme val="minor"/>
      </rPr>
      <t xml:space="preserve"> </t>
    </r>
    <r>
      <rPr>
        <b/>
        <sz val="11"/>
        <color theme="1"/>
        <rFont val="Calibri"/>
        <family val="2"/>
        <charset val="238"/>
        <scheme val="minor"/>
      </rPr>
      <t>náklady</t>
    </r>
    <r>
      <rPr>
        <sz val="11"/>
        <color theme="1"/>
        <rFont val="Calibri"/>
        <family val="2"/>
        <charset val="238"/>
        <scheme val="minor"/>
      </rPr>
      <t xml:space="preserve"> generované jednotlivými částmi organizace a jimi vytvořenou </t>
    </r>
    <r>
      <rPr>
        <b/>
        <sz val="11"/>
        <color theme="1"/>
        <rFont val="Calibri"/>
        <family val="2"/>
        <charset val="238"/>
        <scheme val="minor"/>
      </rPr>
      <t>hodnotu</t>
    </r>
    <r>
      <rPr>
        <sz val="11"/>
        <color theme="1"/>
        <rFont val="Calibri"/>
        <family val="2"/>
        <charset val="238"/>
        <scheme val="minor"/>
      </rPr>
      <t xml:space="preserve"> pro </t>
    </r>
    <r>
      <rPr>
        <b/>
        <sz val="11"/>
        <color theme="1"/>
        <rFont val="Calibri"/>
        <family val="2"/>
        <charset val="238"/>
        <scheme val="minor"/>
      </rPr>
      <t>ZÁKAZNÍKA</t>
    </r>
    <r>
      <rPr>
        <sz val="11"/>
        <color theme="1"/>
        <rFont val="Calibri"/>
        <family val="2"/>
        <charset val="238"/>
        <scheme val="minor"/>
      </rPr>
      <t xml:space="preserve"> nebo </t>
    </r>
    <r>
      <rPr>
        <b/>
        <sz val="11"/>
        <color theme="1"/>
        <rFont val="Calibri"/>
        <family val="2"/>
        <charset val="238"/>
        <scheme val="minor"/>
      </rPr>
      <t>ORGANIZACI</t>
    </r>
    <r>
      <rPr>
        <sz val="11"/>
        <color theme="1"/>
        <rFont val="Calibri"/>
        <family val="2"/>
        <charset val="238"/>
        <scheme val="minor"/>
      </rPr>
      <t>.</t>
    </r>
  </si>
  <si>
    <r>
      <t xml:space="preserve">Přináší nějaký zdroj organizaci konkurenční </t>
    </r>
    <r>
      <rPr>
        <b/>
        <sz val="11"/>
        <color theme="1"/>
        <rFont val="Calibri"/>
        <family val="2"/>
        <charset val="238"/>
        <scheme val="minor"/>
      </rPr>
      <t>dočasnou</t>
    </r>
    <r>
      <rPr>
        <sz val="11"/>
        <color theme="1"/>
        <rFont val="Calibri"/>
        <family val="2"/>
        <charset val="238"/>
        <scheme val="minor"/>
      </rPr>
      <t xml:space="preserve"> nebo </t>
    </r>
    <r>
      <rPr>
        <b/>
        <sz val="11"/>
        <color theme="1"/>
        <rFont val="Calibri"/>
        <family val="2"/>
        <charset val="238"/>
        <scheme val="minor"/>
      </rPr>
      <t>trvalou konkurenční výhodu</t>
    </r>
    <r>
      <rPr>
        <sz val="11"/>
        <color theme="1"/>
        <rFont val="Calibri"/>
        <family val="2"/>
        <charset val="238"/>
        <scheme val="minor"/>
      </rPr>
      <t xml:space="preserve">? </t>
    </r>
    <r>
      <rPr>
        <b/>
        <sz val="11"/>
        <color theme="1"/>
        <rFont val="Calibri"/>
        <family val="2"/>
        <charset val="238"/>
        <scheme val="minor"/>
      </rPr>
      <t>Zdůvodněte</t>
    </r>
    <r>
      <rPr>
        <sz val="11"/>
        <color theme="1"/>
        <rFont val="Calibri"/>
        <family val="2"/>
        <charset val="238"/>
        <scheme val="minor"/>
      </rPr>
      <t>.</t>
    </r>
  </si>
  <si>
    <t>Zhodnoťte nastavení procesů ve vaší organizaci s pomocí výše uvedeného hodnotového řetězce.</t>
  </si>
  <si>
    <t>K hodnocení moci a zájmu využijte 10-ti bodovou škálu, díky které zanesete stakeholdery do kvadrantů. Pomocí různých druhů čar zaneste vazby mezi stakeholdery.</t>
  </si>
  <si>
    <t>Zařaďte 2 jednotlivé stakeholdery dle Socio-dynamického přístupu.</t>
  </si>
  <si>
    <t>Sestavte Porterův hodnotový řetězec pro vaši organizaci (vložte OBRÁZEK).</t>
  </si>
  <si>
    <t xml:space="preserve">Stakeholdery a jejich profily zakreslete do POWER – INTEREST matrix (vložte OBRÁZEK). </t>
  </si>
  <si>
    <t>Jak dynamické z hlediska četnosti a hloubky inovací je prostředí, v němž operuje vaše organizace?</t>
  </si>
  <si>
    <r>
      <rPr>
        <sz val="11"/>
        <color theme="1"/>
        <rFont val="Calibri"/>
        <family val="2"/>
        <charset val="238"/>
        <scheme val="minor"/>
      </rPr>
      <t xml:space="preserve">Diskutujte </t>
    </r>
    <r>
      <rPr>
        <b/>
        <sz val="11"/>
        <color theme="1"/>
        <rFont val="Calibri"/>
        <family val="2"/>
        <charset val="238"/>
        <scheme val="minor"/>
      </rPr>
      <t>historickou četnost</t>
    </r>
    <r>
      <rPr>
        <sz val="11"/>
        <color theme="1"/>
        <rFont val="Calibri"/>
        <family val="2"/>
        <charset val="238"/>
        <scheme val="minor"/>
      </rPr>
      <t xml:space="preserve"> a hloubku inovací v odvětví i </t>
    </r>
    <r>
      <rPr>
        <b/>
        <sz val="11"/>
        <color theme="1"/>
        <rFont val="Calibri"/>
        <family val="2"/>
        <charset val="238"/>
        <scheme val="minor"/>
      </rPr>
      <t>očekávaný</t>
    </r>
    <r>
      <rPr>
        <sz val="11"/>
        <color theme="1"/>
        <rFont val="Calibri"/>
        <family val="2"/>
        <charset val="238"/>
        <scheme val="minor"/>
      </rPr>
      <t xml:space="preserve"> další </t>
    </r>
    <r>
      <rPr>
        <b/>
        <sz val="11"/>
        <color theme="1"/>
        <rFont val="Calibri"/>
        <family val="2"/>
        <charset val="238"/>
        <scheme val="minor"/>
      </rPr>
      <t>vývoj</t>
    </r>
    <r>
      <rPr>
        <sz val="11"/>
        <color theme="1"/>
        <rFont val="Calibri"/>
        <family val="2"/>
        <charset val="238"/>
        <scheme val="minor"/>
      </rPr>
      <t>.</t>
    </r>
  </si>
  <si>
    <r>
      <t xml:space="preserve">Jednoznačně </t>
    </r>
    <r>
      <rPr>
        <b/>
        <sz val="11"/>
        <color theme="1"/>
        <rFont val="Calibri"/>
        <family val="2"/>
        <charset val="238"/>
        <scheme val="minor"/>
      </rPr>
      <t>zdůvodněte</t>
    </r>
    <r>
      <rPr>
        <sz val="11"/>
        <color theme="1"/>
        <rFont val="Calibri"/>
        <family val="2"/>
        <charset val="238"/>
        <scheme val="minor"/>
      </rPr>
      <t>, jak se tito stakeholdeři dle tohoto přístupu chovají a diskutujte s vazbami zakreslenými v POWER – INTEREST matrix.</t>
    </r>
  </si>
  <si>
    <t>Navrhněte INKREMENTÁLNÍ nebo SKOKOVOU inovaci pro Vaši organizaci. Vyberte s ohledm na vhodnost.</t>
  </si>
  <si>
    <r>
      <rPr>
        <b/>
        <sz val="11"/>
        <color theme="1"/>
        <rFont val="Calibri"/>
        <family val="2"/>
        <charset val="238"/>
        <scheme val="minor"/>
      </rPr>
      <t>Vysvětlete</t>
    </r>
    <r>
      <rPr>
        <sz val="11"/>
        <color theme="1"/>
        <rFont val="Calibri"/>
        <family val="2"/>
        <charset val="238"/>
        <scheme val="minor"/>
      </rPr>
      <t xml:space="preserve">, v které oblasti a proč očekáváte možnost úspěchu. Pokud prostor pro žádnou inovaci nevidíte, tak </t>
    </r>
    <r>
      <rPr>
        <b/>
        <sz val="11"/>
        <color theme="1"/>
        <rFont val="Calibri"/>
        <family val="2"/>
        <charset val="238"/>
        <scheme val="minor"/>
      </rPr>
      <t>zdůvodněte</t>
    </r>
    <r>
      <rPr>
        <sz val="11"/>
        <color theme="1"/>
        <rFont val="Calibri"/>
        <family val="2"/>
        <charset val="238"/>
        <scheme val="minor"/>
      </rPr>
      <t>.</t>
    </r>
  </si>
  <si>
    <r>
      <t xml:space="preserve">Pro zpracování odpovědí </t>
    </r>
    <r>
      <rPr>
        <b/>
        <sz val="11"/>
        <color theme="1"/>
        <rFont val="Calibri"/>
        <family val="2"/>
        <charset val="238"/>
        <scheme val="minor"/>
      </rPr>
      <t>využijte</t>
    </r>
    <r>
      <rPr>
        <sz val="11"/>
        <color theme="1"/>
        <rFont val="Calibri"/>
        <family val="2"/>
        <charset val="238"/>
        <scheme val="minor"/>
      </rPr>
      <t xml:space="preserve"> aktuální, relevantní a hodnověrné informační zdroje, jejichž </t>
    </r>
    <r>
      <rPr>
        <b/>
        <sz val="11"/>
        <color theme="1"/>
        <rFont val="Calibri"/>
        <family val="2"/>
        <charset val="238"/>
        <scheme val="minor"/>
      </rPr>
      <t>seznam</t>
    </r>
    <r>
      <rPr>
        <sz val="11"/>
        <color theme="1"/>
        <rFont val="Calibri"/>
        <family val="2"/>
        <charset val="238"/>
        <scheme val="minor"/>
      </rPr>
      <t xml:space="preserve"> uveďte pod vaše odpovědi. V textu </t>
    </r>
    <r>
      <rPr>
        <b/>
        <sz val="11"/>
        <color theme="1"/>
        <rFont val="Calibri"/>
        <family val="2"/>
        <charset val="238"/>
        <scheme val="minor"/>
      </rPr>
      <t>odkazujte</t>
    </r>
    <r>
      <rPr>
        <sz val="11"/>
        <color theme="1"/>
        <rFont val="Calibri"/>
        <family val="2"/>
        <charset val="238"/>
        <scheme val="minor"/>
      </rPr>
      <t xml:space="preserve"> na použité zdroje,</t>
    </r>
    <r>
      <rPr>
        <b/>
        <sz val="11"/>
        <color theme="1"/>
        <rFont val="Calibri"/>
        <family val="2"/>
        <charset val="238"/>
        <scheme val="minor"/>
      </rPr>
      <t xml:space="preserve"> použití zdrojů je součástí hodnocení</t>
    </r>
    <r>
      <rPr>
        <sz val="11"/>
        <color theme="1"/>
        <rFont val="Calibri"/>
        <family val="2"/>
        <charset val="238"/>
        <scheme val="minor"/>
      </rPr>
      <t>.</t>
    </r>
  </si>
  <si>
    <t>ZS 2024/2025</t>
  </si>
  <si>
    <t>Pomocí VRIO analýzy vyhodnoťte zdroje a vztahy, jimiž disponuje Vaše organizace (TABULKA + komentář).</t>
  </si>
  <si>
    <t>Počet bodů (max. 4)</t>
  </si>
  <si>
    <t>Celkový počet zaměstnanců 72</t>
  </si>
  <si>
    <t>cena</t>
  </si>
  <si>
    <t xml:space="preserve">dostupnost  </t>
  </si>
  <si>
    <t>důvěryhodnost</t>
  </si>
  <si>
    <t>účinky</t>
  </si>
  <si>
    <t>wide selections</t>
  </si>
  <si>
    <t>knowledageable staff</t>
  </si>
  <si>
    <t>brand awareness</t>
  </si>
  <si>
    <t>balení</t>
  </si>
  <si>
    <t>členství a benefity</t>
  </si>
  <si>
    <t>kvalita,čistota,Certifikáty</t>
  </si>
  <si>
    <t>Konkurence</t>
  </si>
  <si>
    <t>Požadavek zákaznika</t>
  </si>
  <si>
    <t>specifika aromy</t>
  </si>
  <si>
    <t>modrý oceán</t>
  </si>
  <si>
    <t>Nobilis Tilia, s.r.o.
Je výroba přírodní kosmeticky založené na aromaterapii, i požádá vzdělávací kurzy.</t>
  </si>
  <si>
    <t>Bylo navrženo celkem 11 důležitých atributů produktu.
Na základě výše uvedených výsledků analýzy jsou zřejmé následující předpoklady:
Konkurentem je největší mezinárodní značka. Může přilákat spotřebitele nejlepší kvalitou, nejlepším účinkem, kompletní produktovou řadou a známostí značky. I když je cena vyšší, může realizovat úspory vzhledem k rozsahu.
Předpokládejme, že zákazníci jsou lokální zákazníci (Čechy a Slovensko) a pozvedneme na vyšší úroveň to, co současná konkurence ještě neudělala např. dostupnost, specifický vkus a členství založené na loajalitě. To bude náš modrý oceán. Překonáme očekávání zákazníků, vytvoříme regionální diferenciaci a zvýšíme přilnavost a loajalitu zákazníků. Aby se snížily výrobní náklady, lze odvrhnout faktory, jako je balení a selektivita.</t>
  </si>
  <si>
    <t>1. https://www.nobilis.cz/</t>
  </si>
  <si>
    <t>Řízení vstupních operací</t>
  </si>
  <si>
    <t>Výroba a provoz</t>
  </si>
  <si>
    <t>Řízení výstupních operací</t>
  </si>
  <si>
    <t>Marketing
a odbyt</t>
  </si>
  <si>
    <t>popordenjní service produktu</t>
  </si>
  <si>
    <t>nabízí osobí service/kurzy</t>
  </si>
  <si>
    <t>výzkum a vývoj nových vyrobků</t>
  </si>
  <si>
    <t>Vytvořte kurzy/service postupy</t>
  </si>
  <si>
    <t>obstaravatelská čínnost</t>
  </si>
  <si>
    <t>Řízení dodovatleů/Řízení kvality</t>
  </si>
  <si>
    <t>Řízení lidských zdrojů a školení personálu</t>
  </si>
  <si>
    <t xml:space="preserve">Hodnotný
</t>
  </si>
  <si>
    <t xml:space="preserve">Vzácný
</t>
  </si>
  <si>
    <t>Obtížně imitovatelný</t>
  </si>
  <si>
    <t>Uspořádané prostředí</t>
  </si>
  <si>
    <t>Konkurenční efekt</t>
  </si>
  <si>
    <t>Ekonom. Dopad</t>
  </si>
  <si>
    <t>Ano</t>
  </si>
  <si>
    <t>Ne</t>
  </si>
  <si>
    <t>Dočasná výhoda</t>
  </si>
  <si>
    <t>dočasná++</t>
  </si>
  <si>
    <t>Konkurenčnírovnost</t>
  </si>
  <si>
    <t>přírodní kosmeticky založené na aromaterapii</t>
  </si>
  <si>
    <t>vzděláváním a osvětovou činností</t>
  </si>
  <si>
    <t>zdroje</t>
  </si>
  <si>
    <t>margin</t>
  </si>
  <si>
    <t xml:space="preserve">Certificace, výzkum a vývoj </t>
  </si>
  <si>
    <t>vysoký</t>
  </si>
  <si>
    <t>nízký</t>
  </si>
  <si>
    <t>nízká</t>
  </si>
  <si>
    <t>vysoká</t>
  </si>
  <si>
    <t>Zákazníci</t>
  </si>
  <si>
    <t>Zaměstnanci</t>
  </si>
  <si>
    <t>Dodavatelé</t>
  </si>
  <si>
    <t>Zájem</t>
  </si>
  <si>
    <t>Síla</t>
  </si>
  <si>
    <t>Power-interest Matrix</t>
  </si>
  <si>
    <t>Obchodní zástupci</t>
  </si>
  <si>
    <t>Sousedi centru aromaterapie</t>
  </si>
  <si>
    <t>Vlastnici</t>
  </si>
  <si>
    <t>Certifikační organy</t>
  </si>
  <si>
    <t xml:space="preserve">Celebrity branding mají velký vliv na fanoušky. Nejsou jako influenceři, kteři by měly tendencí k negativnímu, celebrity musí být lojální, jejích osobní porvěst úzce souvisí s firmou. Image obou stránek se úzce vzajemně ovlivnují. Na matrixu představují výsoký zájem. Pokud jde o sílu, celebrity branding hraje roli stejně tak jako  partnerské prodejny. U nich záleží na tom, jestli výrobky firmy dokažou přilakát spotřebitele. Proaktiní podpora se ale může stát passivem, když nevytvoří odbyt. </t>
  </si>
  <si>
    <t>"Vnášíme krásu a harmonii do života našich zákazníků i místa, kde působíme" [1]
Tento popis, není explicitně vyhlásen za misi. Je na webové strance firmy.
Navržená mise: S profesionálními, nadšenými a důvěryhodnými kolegy vnášíme krásu a harmonii do života našich zákazníků i místa, kde působíme.
Firma prostřenictvím služby s láskou prodavá produkty. Výroby produktů, neustálý vývoj nových produktů a způsoby dodávání zákazníkům – to vše vyžaduje zaměstnance s těmito kvalitami.</t>
  </si>
  <si>
    <t>2. výroční zpráva [2019] [2020][2021][2022][2023]  https://or.justice.cz/ias/ui/vypis-sl-firma?subjektId=33499</t>
  </si>
  <si>
    <t>The growing usage of aromatherapy for numerous health-related benefits is the most important factor expected to drive market growth[1]. In the Skin Care Market, revenue is expected to show an annual growth rate of 9.04% worldwide in 5 years[2][3][4].The rapid rise of the e-commerce is also expected to cushion market growth.
4C analysis:
Customers: marketing applies to different regions. However, culturally differences still exist due to, e.g different preferences for flavors and herbs.
Country: Legal differences are the key. Products are categorized in marketing as cosmetics, natural health products, or as medicines with varying degrees of stringency, which may create barriers to entry for globalization.
Competition: In addition to major players, there are also many small regional companies, creating regional independent brands with a stress on sustainability.
Cost: Economies of scale have their benefits, as they require significant capital investment in research and acquisition of essential oils.</t>
  </si>
  <si>
    <t>1. https://www.marketresearchfuture.com/reports/essential-oil-aromatherapy-market-3319</t>
  </si>
  <si>
    <t>2.https://www.statista.com/outlook/emo/beauty-personal-care/skin-care/worldwide#sales-channels</t>
  </si>
  <si>
    <t>3.https://www.statista.com/outlook/emo/beauty-personal-care/skin-care/europe</t>
  </si>
  <si>
    <t>4.https://www.statista.com/outlook/emo/beauty-personal-care/skin-care/czechia</t>
  </si>
  <si>
    <t>5.výroční zpráva [2022] https://or.justice.cz/ias/ui/vypis-sl-detail?dokument=77507582&amp;subjektId=33499&amp;spis=560095</t>
  </si>
  <si>
    <t>6.https://www.denik.cz/zdravi/alternativni-medicina-2020.html</t>
  </si>
  <si>
    <t>7.https://vesmir.cz/cz/casopis/archiv-casopisu/2018/cislo-11/alternativni-medicina-diskuse-kruhu.html</t>
  </si>
  <si>
    <t>8.MANUFAKTURA s.r.o. 	účetní závěrka [2022]  https://or.justice.cz/ias/ui/vypis-sl-detail?dokument=78837827&amp;subjektId=869332&amp;spis=1243617</t>
  </si>
  <si>
    <t>9.Botanicus, spol. s r.o. účetní závěrka [2023], výroční zpráva [2023] https://or.justice.cz/ias/ui/vypis-sl-detail?dokument=82627747&amp;subjektId=442576&amp;spis=98862</t>
  </si>
  <si>
    <t>Nově vstupující: velká síla z důvodu atraktivního růstu odvětví. Ale malá síla, protože odvětví nemá nízké fixní náklady se získáváním určitých kvalitních organických éterických produktů a certifikátů. Proto je stále atraktivní pro nové vstupující, ale je méně pravděpodobné, že nově vstupující vstoupí ve velkém počtu.
Dodavatelé: malá síla, díky širokému portfoliu. V případě výpadku suroviny, může být nabídnut jiný produkt. [5]
Odběratelé: trh je vyspělý, zákazníci mají mnoho možnosti, i dominantní postavení. Zařadí se tak do velké síly.
Substituty: alternativní medicína by byla substitutem, ale ještě není univerzální.[6][7]
Konkurenční prostředí: v ČR existují velké firmy, ale zádný dominantní konkurent.[8] [9]Fixní náklady jsou vysoké kvůli komplexním surovinám a zařízením.  
MAP:  
Hlavní hráči budou ochotnější investovat a přilákat nové spotřebitele cenou nebo inovacemi. S šířením informací na internetu, důrazem lidí na zdraví a na globalizaci je výběr firmy ze strany zákazníků stále snazší.</t>
  </si>
  <si>
    <t>Zdroje:
Suroviny, prvotřídní přírodní suroviny s ověřeným původem, efektivní výrobní prostory.
Certifikace, pověst značky, distribuční systém.
Jedinečný systém školení, System duplikujícího se otevření nových prodejen.
MAP: Firma má stabilní systém s řízením dodavatelů a výrobou esenciálních olejů. 3 příslušné certificatce a 3 prodejny v ČR kromě hlavního centra obchodu. Příjmy z prodeje jsou další zdroje prostřednictvím online a distributorů.
1. Certifikace jsou tuzemské vysoce kvalitní bio certifikace, chybí však certifikace od velkých mezinárodních  institucí, jako je IFRA[1], což ztěžuje získání důvěry zákazníků, kteří mají vyšší požadavky na produkty.
2. Vůně a čich jsou nejdůležitější podstatou produktu. Sice existuje dostupný online shop, v průběhu expanzní podnikaní jsou ale kamenné obchody nepostradatelné. Ve srovnání s konkurencí je počet prodejen stále velmi malý.
3. Jedinečný systém školení, nejen vytvoří hodnotu pro zákazníka, ale také pro organizaci.</t>
  </si>
  <si>
    <t>1.VINEVIDA : IFRA   https://en.wikipedia.org/wiki/International_Fragrance_Association</t>
  </si>
  <si>
    <t>2.Essential Oils Industry-A Company Management Strategy Analysis. https://ndltd.ncl.edu.tw/cgi-bin/gs32/gsweb.cgi?o=dnclcdr&amp;s=id=%22104YUNT0121033%22.&amp;searchmode=basic#XXX</t>
  </si>
  <si>
    <t>Většina organizací má podobné procesy od vstupu přes výstup až po prodej. Tato společnost používá produkty pro dvojí použití, nejen konkretní produkty, ale také přeměnu produktů na znalostní kurzy k prodeji. Tento obchodní model vyžaduje vynikající lidské zdroje.
Z dlouhodobého hlediska se vytváří důvěryhodnost produktu a značka, což vytváří hodnotu pro zákazníky a organizaci prostřednictvím přenosu znalostí. [2]</t>
  </si>
  <si>
    <t>3.https://botanicus.cz/centrum-remesel/oteviraci-doba-vstupne/</t>
  </si>
  <si>
    <t>4.https://manufaktura.cz/prodejny/</t>
  </si>
  <si>
    <r>
      <t>Společnost je sice průkopníkem, její tempo rozvoje je ale poměrně pomalé, je snadné o příležitosti přijít. Konkurenční  firmy jako MANUFAKTURA, Botanicus, Saloos a velké online shopy tvrdí, že disponují přírodními produkty a certifikovanou BIO kosmetikou. Botanicus má vlastní bylinné zahrady[3] a široký a sortiment produktů. MANUFAKTURA provozuje hodně prodejnen[4], dobře známých spotřebitelům.
Konkurenční výhoda - naše firma má zcela ryzí a kvalitnější produkty vyrobené z esenciálních olejů (</t>
    </r>
    <r>
      <rPr>
        <sz val="11"/>
        <rFont val="Calibri"/>
        <family val="2"/>
        <scheme val="minor"/>
      </rPr>
      <t>výrobky prý jsou z komplexních čistých rostlinných extraktů). Proto by společnost měla marketovým segmentem předefinovat cenové umístění, např. u produktů jež nabízí salony v hotelích.</t>
    </r>
    <r>
      <rPr>
        <sz val="11"/>
        <color theme="1"/>
        <rFont val="Calibri"/>
        <family val="2"/>
        <scheme val="minor"/>
      </rPr>
      <t xml:space="preserve">
Nabízené vzdělávací kurzy a osvětová činnost se odlišují od konkurence. Je to zdroj příjmů, náklady na </t>
    </r>
    <r>
      <rPr>
        <sz val="11"/>
        <rFont val="Calibri"/>
        <family val="2"/>
        <scheme val="minor"/>
      </rPr>
      <t>standardizované kurzy a jejich duplikace</t>
    </r>
    <r>
      <rPr>
        <sz val="11"/>
        <color rgb="FFC00000"/>
        <rFont val="Calibri"/>
        <family val="2"/>
        <scheme val="minor"/>
      </rPr>
      <t xml:space="preserve"> </t>
    </r>
    <r>
      <rPr>
        <sz val="11"/>
        <color theme="1"/>
        <rFont val="Calibri"/>
        <family val="2"/>
        <scheme val="minor"/>
      </rPr>
      <t>nejsou vysoké a lze je provádět tváři v tvář i online. Zvýší také profesionální známost značky. V období rozvoje společnosti lze školení zohlednit při vystavení nových prodejen.</t>
    </r>
  </si>
  <si>
    <t>1.ČOI: Česká obchodní inspekce</t>
  </si>
  <si>
    <t>Sdružení obrany spotřebitelů</t>
  </si>
  <si>
    <t>ČOI [1]</t>
  </si>
  <si>
    <t xml:space="preserve">Partnerské prodejny </t>
  </si>
  <si>
    <t>Celebrity branding [2]</t>
  </si>
  <si>
    <t>2.Andrea Růžičková je první ambasadorkou české přírodní kosmetiky Nobilis Tilia.</t>
  </si>
  <si>
    <t>https://www-webofscience-com.zdroje.vse.cz/wos/woscc/full-record/WOS:000530109205069</t>
  </si>
  <si>
    <t>https://www-webofscience-com.zdroje.vse.cz/wos/woscc/full-record/WOS:000621585400042</t>
  </si>
  <si>
    <t xml:space="preserve">V posledních letech se na trhu objevuje čím dál více přírodní a bio kosmetiky. Ale užívání slov  „přírodní“ a „bio“ v tomto  průmyslu není  zatím zákony nijak omezeno[3][4]. Víc a víc organizací se zabývají standardy and regulacemi. Je jisté, že tento trend vede k innovaci odvětví.
Vzhledem k ochraně přírodního prostřední exotic Eos jsou vyráběny ze vzácných materiálů[5]. Innovace vyžaduje různorodé znalosti. jako jsou technologie, věda, botanikza[6]... To může vest  k inkrementalní inovaci. </t>
  </si>
  <si>
    <t>Firma vznkla v roce 2004. Hlavním předmětem podnikání firmy je výroba přirodní kosmetiky založené na aromaterapii. Firma také pořádá vzdělávací kurzy. Produkty včetně přižozeného esenciálního oleje, péče o pleť, online i offline kurzy jsou věšinou zaměřené na ženy. Některé jsou zaměřené na muže a děti. 
Firma má  B2B eshop, i kamennou prodejnu(4).Vytvořila prodejní síť prostřednictvím obchodních zástupců. 
Ve Vlčí Hoře je Centrum aromaterapie, kamenná prodejna, bylinková čajovna i rozlehlá zahrada. [2]</t>
  </si>
  <si>
    <t>1.ČOI: Česká obchodní inspekce. Available online: https://www.coi.cz/o-coi/pusobnost-uradu/</t>
  </si>
  <si>
    <t>2. výroční zpráva [2020] Available online: https://or.justice.cz/ias/ui/vypis-sl-firma?subjektId=33499</t>
  </si>
  <si>
    <t>3. Co znamená certifikovaná přírodní kosmetika.Available online: https://blog.nobilis.cz/co-znamena-certifikovana-prirodni-kosmetika/</t>
  </si>
  <si>
    <t>4. NATURAL COSMETICS CERTIFICATIONS &amp; EU COSMETIC LABELLING REGULATIONS.Available online: https://taobe.consulting/natural-and-bio-cosmetics/</t>
  </si>
  <si>
    <t>5. EUROPEAN HUB ON NEW CHALLENGES IN THE FIELD OF ESSENTIAL OILS (EOHUB). A PROPOSAL FOR UNIVERSITY-INDUSTRY COOPERATION.Available online:</t>
  </si>
  <si>
    <t>6.System analysis and design of aromatherapy products for innovation performance assessment toward competitive commercialization phase.Available online:</t>
  </si>
  <si>
    <t xml:space="preserve">3. Cosmetic Packaging: European Regulatory Aspects and Sustainability  https://www.mdpi.com/2079-9284/11/4/110	</t>
  </si>
  <si>
    <t>4. Jak ve Vlčí Hoře žijeme v harmonii s přírodou   https://blog.nobilis.cz/jak-ve-vlci-hore-zijeme-v-harmonii-s-prirodou/</t>
  </si>
  <si>
    <t xml:space="preserve">5. Indexy spotřebitelských cen - inflace - červenec 2024  https://csu.gov.cz/rychle-informace/indexy-spotrebitelskych-cen-inflace-cervenec-2024
</t>
  </si>
  <si>
    <t>6. Prognóza ČNB – léto 2024 https://www.cnb.cz/cs/menova-politika/prognoza/</t>
  </si>
  <si>
    <t>7. https://www.camic.cz/cs/news/v-roce-2024-se-ocekava-obnova-rustu-ekonomiky-i-realnych-prijmu/</t>
  </si>
  <si>
    <t>8. COVID-19 pandemic sheds a new research spotlight on antiviral potential of essential oils - A bibliometric study  https://www-webofscience-com.zdroje.vse.cz/wos/alldb/full-record/WOS:001056240300001</t>
  </si>
  <si>
    <t>Členění inovací</t>
  </si>
  <si>
    <t>Systém</t>
  </si>
  <si>
    <t>úrovň</t>
  </si>
  <si>
    <t>Dílčí části</t>
  </si>
  <si>
    <t>Hloubka</t>
  </si>
  <si>
    <t xml:space="preserve">Dosah </t>
  </si>
  <si>
    <t>Inkrementní inovace</t>
  </si>
  <si>
    <t>podnik</t>
  </si>
  <si>
    <t>Radikání inovace</t>
  </si>
  <si>
    <t>Svět</t>
  </si>
  <si>
    <t xml:space="preserve">Zlepšení Komponet </t>
  </si>
  <si>
    <t>Nová verze výrobku</t>
  </si>
  <si>
    <t>Nová Komponety</t>
  </si>
  <si>
    <t>Nová Koncepce Komponety</t>
  </si>
  <si>
    <t>Nová generace</t>
  </si>
  <si>
    <t>Revoluce v odvětví</t>
  </si>
  <si>
    <t>. Zvyšit počet bio-productů
. Snišit počet výužití plasticé obaly.</t>
  </si>
  <si>
    <t>. Na základě zákazníkové database výtvoří nový systém členství. 
. Nabízí nový kurzy. Např. certificační kurzy pro amromaterapeutika</t>
  </si>
  <si>
    <t xml:space="preserve">. nová vůňe pro nové segmenty. Např. do lázně pro seniory. </t>
  </si>
  <si>
    <t>Balení výrobků a materiálů v obalech je pečlivě sledováno legistlativou EU. Cílem je snížit odpad z obalů a podpořit recyklované obaly jako jsou bio-based obalové materiály a bio-based biodegradable plastic.[3] Firma má dlouhodobou tradici dbá  na to, aby podnikala ekologicky šetrně i na to, aby respektovala své okolí.
Příležitosti i hrozba: i když firma se s tím už postupně vyrovnává, kvůli výsokým požádavkům na přírodní kosmetiku bez konzervantů výužívá nemálý počet nizkých recyklovavých plastiků, jako jsou PET, HDPE...
Ekonomické faktory, které společnost během covidu ovlivňovaly, se postupně zlepšovaly a inflace zůstala stabilní několik měsíců.[5] [6]. Data ukazují, že se očekává růst kupní síly a obnova  reálných příjmů v roce 2024 [7]. Pandemie nabízí příležitost prozkoumat potenciál esenciálních olejů.  Po covidu se zvýšil zájem o výrobky, které posilují imunitu a podporují zdraví.[8] Aromaterapeutické produkty se tak těší zvýšené poptávce, což je pro firmu příležitost k růstu.</t>
  </si>
  <si>
    <t>O</t>
  </si>
  <si>
    <t>T</t>
  </si>
  <si>
    <t xml:space="preserve">Firma má kompletní sortiment zasádních výrobků, což lze použít jednotný přístup z hlediska marketingu k produktům osobní péče. Kvalitní image firmy dokaže přilákat nové zákazniky. </t>
  </si>
  <si>
    <t>Nové velké vstupující nedokážou vstoupit rychle</t>
  </si>
  <si>
    <t>Konkurence cenou</t>
  </si>
  <si>
    <t>Společnost má tři prodejny v ČR, což omezuje přímý kontakt zákazníků s produkty. Kamenné prodejny jsou pro produkty s důrazem na čichový zážitek zásadní. Je pro firmu nestačít k budování silného povědomí o značce a přímé interakce s produkty.</t>
  </si>
  <si>
    <t>Dobře fungující e-shop</t>
  </si>
  <si>
    <t>Konkurence z innovace mezinárodních velých firem</t>
  </si>
  <si>
    <t>Omezené kamenné prodejny</t>
  </si>
  <si>
    <t>Ryzí a kvalitnější produkty</t>
  </si>
  <si>
    <t>Společnosti chybí mezinárodní certifikace, jako je IFRA, která je klíčová pro zajištění důvěry zákazníků na globálních trzích. Tato absence může vést k nedůvěře mezi náročnějšími spotřebiteli, kteří vyžadují přísnější standardy kvality.</t>
  </si>
  <si>
    <t>Užívání slov  „přírodní“ a „bio“ v tomto  průmyslu není  zatím zákony nijak omezeno. Trend regulací může být pro firmu příležitostí. Zavedení standardů a regulací pravděpodobně odstraní nekalou konkurenci (např. firmy, které zneužívají označení „bio“).</t>
  </si>
  <si>
    <t>Odvětví má vysokou vyjednávací sílu zákazníků. To nutí firmu soustředit se na inovace a přidanou hodnotu (např. jedinečné složení nebo ekologické balení) a budování loajality.</t>
  </si>
  <si>
    <t>Ekologicy založená firma</t>
  </si>
  <si>
    <t>Schopnost rychlé reakce na legislativu</t>
  </si>
  <si>
    <t>Překážky pro vstup globalizace</t>
  </si>
  <si>
    <t>Firma má zcela ryzí a kvalitnější produkty vyrobené z esenciálních olejů, proto by společnost měla marketovým segmentem předefinovat cenové umístění, např. u produktů jež nabízí salony v hotelích.</t>
  </si>
  <si>
    <t>Rostoucí atraktivita odvětví pravděpodobně přiláká nové hráče, zejména ty, kteří budou schopni zvládnout vysoké počáteční náklady. Můsí využit technologii a inovaci, aby co nejdříve rozšířila své výhody.</t>
  </si>
  <si>
    <t>Rostoucí atraktivita odvětví přiláká nové hráče</t>
  </si>
  <si>
    <t>Schopnost řízení dodávek</t>
  </si>
  <si>
    <t>Chybí mezinárodní certifikace</t>
  </si>
  <si>
    <t>Řízení partnerství</t>
  </si>
  <si>
    <t>Společnost má tři vysoce kvalitní tuzemské bio certifikace. Důraz na kvalitní přírodní suroviny a lokální certifikace pomáhá budovat důvěru zákazníků na domácím trhu. Získávalo by duvěru zákazníky, když  firma rozšířit sortimentu, což sníží snahu marketingu.</t>
  </si>
  <si>
    <t>Úspory z rozsahu velkých mezinárodního firem přispivá k jejích rychlosti výzkumu a vyvoje nových produktů.  Naše firma by těžko dohnala innovační dochopnost velkých firem.</t>
  </si>
  <si>
    <t>Po covidu se zvýšil zájem o výrobky, které posilují imunitu a podporují zdraví. Aromaterapeutické produkty se tak těší zvýšené poptávce. Naše firma v tom odvětví a vyrobkoý sortment má dobrou pověst. Firma tak očekává lepší příjem než v minulosti.</t>
  </si>
  <si>
    <t>Firma má dlouhodobou tradici a dbá na to, aby podnikala ekologicky. To přispívá k pozitivnímu vnímání značky, což může zvyšovat loajalitu zákazníků. Umožní to rozšíření trhu díky preferenci ekologicky orientovaných zákazníků.</t>
  </si>
  <si>
    <t>Vlastní schopnost rychlé reakce na měnící se legislativu o udržitelném rozvoji. Umožňuje minimalizovat právní a finanční rizika. Firma může  podpory využít EU v rámci dotačních programů na udržitelný rozvoj.</t>
  </si>
  <si>
    <t>Přísné pravidla o UR</t>
  </si>
  <si>
    <t>Jednotným marketingovým přístupem lze přílákat nové zákaznky.</t>
  </si>
  <si>
    <t>Produkty jsou kategorizovány jako kosmetika, přírodní produkty pro zdraví nebo jako léky s různou mírou přísnosti, což může vytvářet překážky a komplikace pro vstup globalizace.</t>
  </si>
  <si>
    <t>Konkurence ze strany malých firem</t>
  </si>
  <si>
    <t>Existuje víc a víc malých regionálních firem, které taky kladou důraz na přirodní biokosmetiky. Ty se možná stanou konkurenty. Je potřeba se odlišovat od svých konkurentů.</t>
  </si>
  <si>
    <t>Na trhu existují silní konkurenti s větším počtem prodejen a lepší dostupností. I když jejich produkty jsou meně ryzí, jsou těžko rozlišovány zákazníky. Firma by mohla využít své kvalitní zaměření jako klíčovou odlišnost. Může přitáhnout věrnou zákaznickou základnu v konkurenčním prostředí</t>
  </si>
  <si>
    <t>Nové velké firmy vstupující na trh nedokážou vstoupit rychle kvůli nenízkým nákladům a požadavkům na  kvalitních organické produkty  a ns certifikáty. Je dočasná výhoda, že by mohla odrazovat nové konkutenty. Firma musí investovat do udržení a posilování své značky, aby si udržela náskok před novými konkurenty.</t>
  </si>
  <si>
    <t>Díky širokému portfoliu v případě výpadku suroviny, může být nabídnut jiný produkt. A proto nebude ohrožená dodavateli. Naopak Firma může vyjednávat lepší ceny nebo podmínky dodávek. A proto dokaže získat víc flexibility na náklady, stavnovení cen nebo marže.</t>
  </si>
  <si>
    <t>Může oslovit populaci se zájimem o  alternativní medicínu</t>
  </si>
  <si>
    <t xml:space="preserve">Jedinečný systém školení </t>
  </si>
  <si>
    <t>Vysoká kvalita zaměstnamců</t>
  </si>
  <si>
    <t>Alternativní medicína by byla substitutem aromaterapeutických produktů, ale ještě není univerzální v Česku. Vzeldem k  tomu firma má dočastnou vyhodu, že může oslovit segmeční zákazníky se zájimem o  alternativní medicínu.</t>
  </si>
  <si>
    <t>Hlavní hráči budou ochotni investovat a přilákat nové spotřebitele cenou. S šířením informací na internetu, důrazem lidí na zdraví a na globalizaci je výběr firmy ze strany zákazníků stále snazší. Firma by mohla ztratit zákazniky, kteři jsou ceňově citliví.</t>
  </si>
  <si>
    <t xml:space="preserve">Používá produkty pro dvojí použití, nejen konkretní produkty, ale také přeměnu produktů na znalostní kurzy k prodeji. Jedinečný systém školení nejen přinaší pro firmu profesionální pověst, taky se dá duplikovat nízkým nákladem a vytvoří přijem. </t>
  </si>
  <si>
    <t>Díky jedinečnému systému školení firma by vlastnila kvalitní zaměstnance a vyžaduje vysoké standard vůčí zaměstnacům i produkty. Díky vysoké kvalitě zaměstnanců má šanci rozšířit systému školení na nové trhy nebo vytvořit inovativní přístupy.</t>
  </si>
  <si>
    <t xml:space="preserve">Společnost má pohodlný a přátelský e-shop a spolupracuje s prodejci. Online prodej poskytuje větší pokrytí, což také umožňuje firmě poskytovat stabilní služby stávajícím zákazníkům. To je nasledně považovano za pevný zasad pro budoucí vyvoj. </t>
  </si>
  <si>
    <t>Důraz na kvalitní tuzemské bio certifikace</t>
  </si>
  <si>
    <t>Firma by ztratila  svou odlišnost kvůli zavedení standardů</t>
  </si>
  <si>
    <t>Vysoká  vyjednávací síla zákazníků</t>
  </si>
  <si>
    <t>Kvůli omezení počtů prodejnen, hrají důležté role partneři prodejny,kteří zajišťují expanzi a dostupnost produktů. Je nutné vytvořit stabilní sítě prodejních partnerů. Partneři kteří nedodržují standardy značky a neposkytují konzistentní zákaznický zážitek by vytovořili riziko pro značky.</t>
  </si>
  <si>
    <t>Regulace bude znamenat  zvýšené požadavky na kvalitu a certifikace bude znamenat vyšší náklady pro firmu. Je taky možné ztratit svou odlišnost když certifikace se stanou základními nároky v tomto odvětví. Inovace a rozšíření portfolia produktů založené na vědeckém výzkumu by umožnilo firmě reagovat na konkurenci.</t>
  </si>
  <si>
    <t xml:space="preserve">Firma získala dotaci z programu OP PIK na přestavbu centra aromaterapie a zahrady. To zajistilo větší výrobní, expediční i skladovací prostory. Zkušenosti a pověst sehnali externí zdroje budou příspivat k budoucí vývoj. Zejména získá zdroje z EU pro projekt innovace udržitelého rozvoje  </t>
  </si>
  <si>
    <t>Komentář - MAP přístup (Monitoring, Analysis, Prediction)</t>
  </si>
  <si>
    <t>Existují silní konkurenti s větším počtem prodejen</t>
  </si>
  <si>
    <t xml:space="preserve">Zavedení více standardů a regulací slov „přírodní“ a „bio“ </t>
  </si>
  <si>
    <t>Balení výrobků a materiálů v obalech je pečlivě sledováno legistlativou EU ohledně  SDGs. Firma  čelí čím dál přísnějším požadavkům ekologických pravidel. Adaptace na pravidla může být nákladná.</t>
  </si>
  <si>
    <t>Získání zdroje z EU</t>
  </si>
  <si>
    <t>Prospěch ze zdravotního povědomí</t>
  </si>
  <si>
    <t>Zacílení na prémiový trh vzhledem k partnerům</t>
  </si>
  <si>
    <t>Zvýšit prodej luxusní  produktové sortiment</t>
  </si>
  <si>
    <t>Rozšířit nabídku luxusní sortiment o 10 nových produktů zaměřených na špičkové zákazniky.</t>
  </si>
  <si>
    <t>Využít aktuální výrobní kapacity a schopnost řízení dodávek.</t>
  </si>
  <si>
    <t xml:space="preserve">Využít svou výhodu a povest z celebrity </t>
  </si>
  <si>
    <t>Investovat 5 % ročního obratu do vývoje nových produktů a marketingu pro tuto produktovou řadu</t>
  </si>
  <si>
    <t>Alokovat 8 % z ročního rozpočtu na motivování sytém pro zástupce v  prémiové sortimentu.</t>
  </si>
  <si>
    <t>S1,S5,S6,S8,S10,O2,O3</t>
  </si>
  <si>
    <t>Zvýšit produkty s ekologickým balením.</t>
  </si>
  <si>
    <t>Zvýšit podíl jedinečných produktů o 20 % z celých produkových SKU.</t>
  </si>
  <si>
    <t>Využit dotace a zdroje z EU (OP PIK program).</t>
  </si>
  <si>
    <t>S2,O3,O4</t>
  </si>
  <si>
    <t>S4,S5.S9, O1,O2</t>
  </si>
  <si>
    <t>Rozšíření tržního podílu z nových zákazniků</t>
  </si>
  <si>
    <t xml:space="preserve">Dosáhnout přírůstku zákazníků o 3 000 do polovinu 2025 a dalších 7 000 do prosince 2025. </t>
  </si>
  <si>
    <t>do 2026.12</t>
  </si>
  <si>
    <t>do 2025.12</t>
  </si>
  <si>
    <t>do 2026.6</t>
  </si>
  <si>
    <t>Rozšíření kamenných prodejen</t>
  </si>
  <si>
    <t>W2.O1</t>
  </si>
  <si>
    <t>Rozšířit síť kamenných prodejen na klíčových trzích</t>
  </si>
  <si>
    <t xml:space="preserve">Díky vysoké kvalitě zaměstnamců,  může využije existující know-how a  osvědčené procesy řízení. </t>
  </si>
  <si>
    <t>Použít 10 % ročního zisku na náklady spojené s výstavbou a provozem prodejen</t>
  </si>
  <si>
    <t>S2,S5,S10,T3,T4,T5</t>
  </si>
  <si>
    <t>Zvýšit povědomí o značce firmy prostřednictvím cílených marketingových kampaní</t>
  </si>
  <si>
    <t>Zvýšit tržní podíl nových zákazníků</t>
  </si>
  <si>
    <t>Spustit 5 cílených marketingových kampaní zaměřených na ekologické a přírodní hodnoty značky.</t>
  </si>
  <si>
    <t>Zvýšit tržní podíl o 10 % a zvýšit počet sledujících na sociálních sítích o 30 %.</t>
  </si>
  <si>
    <t>W4,T3,T5</t>
  </si>
  <si>
    <t>Realistic/Relevant</t>
  </si>
  <si>
    <t>Vlastní schopnost rychlé reakce na měnící se legislativu o udržitelném rozvoji. Umožňuje minimalizovat právní a finanční rizika. Firma může podpory využít EU v rámci dotačních programů na udržitelný rozvoj.</t>
  </si>
  <si>
    <t>Zvýšení viditelnosti a důvěryhodnosti značky</t>
  </si>
  <si>
    <t>S7,T7</t>
  </si>
  <si>
    <t>Udělejte z partnerů naše mluvčí</t>
  </si>
  <si>
    <t>Implementovat jednotný školící program zaměřený na ekologické hodnoty a kvalitu produktů pro všechny současné a nové prodejní partnery</t>
  </si>
  <si>
    <t>Vytvořit školící program pro zaměstnance partnerů, který zahrnuje znalosti o produktech, jejich ekologických výhodách a jedinečných vlastnostech.</t>
  </si>
  <si>
    <t xml:space="preserve">Proškolit 100 % současných a nových partnerů (minimálně 50 subjektů) </t>
  </si>
  <si>
    <t>Díky existujícímu školícímu systému (S7) je možné rozšířit program i na partnery a standardizovat přístup k propagaci a prodeji produktů.</t>
  </si>
  <si>
    <t xml:space="preserve">Formulace průmyslových standardů pro „přírodní“ a „bio“ produkty </t>
  </si>
  <si>
    <t>W3,O3</t>
  </si>
  <si>
    <t>Díky odborným znalostem a zkušenostem na českém trhu je tento cíl dosažitelný.</t>
  </si>
  <si>
    <t>zvýšit důvěryhodnost produktů a omezit nekalou konkurenci.</t>
  </si>
  <si>
    <t>S8,T7</t>
  </si>
  <si>
    <t>Diferenciace produktů pomocí zaměstnanecké inovace</t>
  </si>
  <si>
    <t>Zapojit zaměstnance do procesu inovace produktů prostřednictvím workshopů a týmových projektů zaměřených na ekologické hodnoty a jedinečnost produktů.</t>
  </si>
  <si>
    <t>Aktivní zapojení do formulace průmyslových standardů</t>
  </si>
  <si>
    <t>Rozšíření tržní podíl ze stabilní sítě prodejních partnerů</t>
  </si>
  <si>
    <t>Vyvinout 3 nové produkty nebo služby, které budou výsledkem návrhů zaměstnanců a zvýší tržby v daném segmentu o 10 %.</t>
  </si>
  <si>
    <t>S1,S5,S10,O2,O3</t>
  </si>
  <si>
    <t>Navázat spolupráci s hotely a wellness centry, kde budou produkty nabízeny jako součást služeb</t>
  </si>
  <si>
    <t>Minmálně otevřit 5 nových kamenných prodejen. Zvýšit počet přímých zákazníků v kamenných prodejnách o 20 % oproti roku 2024</t>
  </si>
  <si>
    <t>Účastit se inimálně 5 oborových setkání. Prosadit přijetí minimálně dvou návrhů firmy do národních nebo evropských průmyslových standardů.</t>
  </si>
  <si>
    <t>Achievable(interal)</t>
  </si>
  <si>
    <t>SO1,ST1, WO1</t>
  </si>
  <si>
    <t>Investovat 7 % marketingového rozpočtu do kampaní zaměřených na online a offline propagaci.</t>
  </si>
  <si>
    <t>Společnost má vlastní krásnou aromaterapeutickou zahradu, kde lze natáčet přesvědčivé reklamy</t>
  </si>
  <si>
    <t>Vytvořit ocenění a systém odměný za kreativitu na podporu innovací zaměstnanů.</t>
  </si>
  <si>
    <t>Díky vysoké kvalitě zaměstnanců je zapojení zaměstnanců do inovací realistické a proveditelné</t>
  </si>
  <si>
    <t>ST1,SO4</t>
  </si>
  <si>
    <t>SO1,SO3,WT1</t>
  </si>
  <si>
    <t>Jako kompletní ekologická firma</t>
  </si>
  <si>
    <t>Získat nové partnery v prémiovém segmentu</t>
  </si>
  <si>
    <t>Vytvořit motivační systém, což zajištím že prodejní parteři jsou ochotní se učastnit na školící program.</t>
  </si>
  <si>
    <t>Pomocí tvurčích zaměstnanců</t>
  </si>
  <si>
    <t>Zvyšit viditelnost firmy pomocí rozšíření síť kamenných prodejen na klíčových trzích, marketingových kampanech, a získání nové partnerů v prémiovém segmentu.</t>
  </si>
  <si>
    <t>Navýšit počet nových zákazníků. Dosažení bude sledováno na základě dat z prodejů a registrací zákazníků přes e-shop a partnery.</t>
  </si>
  <si>
    <t>Otevřít nové kamenné prodejny v obchodních centrech s velikosti 30-50 metrů čtverečních v klíčových regionech zaměřených na interakci se zákazníky</t>
  </si>
  <si>
    <t>Identifikovat nové partnery a zvýšit počet dostupných produktů mezi stávajícími partnery.</t>
  </si>
  <si>
    <t>Aktivně se účastnit oborového setkání a diskuse na úrovni ČR a EU o normách „přírodní“ a „bio“ kosmetiky</t>
  </si>
  <si>
    <t>Navázat spolupráci s 20 novými partnery a zvýšit dostupnost produktů o minimálně 10 % ze stávajících partnerů.</t>
  </si>
  <si>
    <t xml:space="preserve">Zvýšit příjmy z luxusních sortimentů o 15 % do konce roku 2025. </t>
  </si>
  <si>
    <t xml:space="preserve">Získat spolupráci minimálně 10 hotelů a wellness centrů. Zvýšit příjmy z luxusní segmentů o 20 % do konce roku 2025. </t>
  </si>
  <si>
    <t xml:space="preserve">Což zvýšení brand awareness taky podpora expanze </t>
  </si>
  <si>
    <t>Aby dosáhl tento cíl, musí najmout 3 obchodní zástupce a navrhovat motivační bonus systém.</t>
  </si>
  <si>
    <t>Je klíčem k růstu tržeb a posílení značky, tím k budování dlouhodobé stability.</t>
  </si>
  <si>
    <t>. Diferenciační strategie:
  Zaměření na kvalitní zákaznický servis a školení podporuje dlouhodobé vztahy se zákazníky a partnery, což přispívá k budování image značky jako lídra v prémiovém a ekologickém segmentu.
. Školící systém zajišťuje, že všechny prodejní kanály poskytují konzistentní a vysokou úroveň služeb, což je klíčové pro diferenciaci na trhu. Ty podporují expanzi a odlišení od konkurence.</t>
  </si>
  <si>
    <t>Struktura:
Vytvoření týmu pro prémiový segment: Tento tým taky bude klíčovou příležitostí pro interní zaměstnance, aby si rozvíjeli kariéru. Vytvoření týmu umožní talentovaným jednotlivcům postoupit na vyšší pozice, což motivuje zaměstnance k většímu zapojení.
Motivační systém: Firma zavede bonusový systém, který bude zaměřen na obchodní zástupce i partnery. Bonusy budou odměňovat za dosažení konkrétních cílů, jako je zvýšení prodeje, získání nových partnerů.
Kultura:
Zaměření na servis i výsledky: Kulturní hodnoty firmy se posunou směrem k výstupům, jako je kvalita zákaznického servisu, dosažení prodejních cílů a efektivní odbyt.
Sdílení znalostí: Firma vytvoří prostředí, které podporuje sdílení znalostí mezi zaměstnanci. To zahrnuje například interní workshopy, mentoring od zkušenějších kolegů a podporu inovací.
Podpora od nadřízených: Klíčovou součástí kultury bude aktivní zapojení manažerů, kteří budou zaměstnancům poskytovat zpětnou vazbu, vedení a motivaci.
Kontrola:
Ukazatele výkonu: Kromě měření růstu tržeb, počtu nových partnerů a efektivity marketingu budou ukazatele zahrnovat také:
Podíl nespokojených zákazníků: Měření prostřednictvím zákaznických recenzí, stížností a dotazníků.
Vrácené produkty: Analýza důvodů pro vracení zboží a jejich minimalizace skrze zlepšení kvality produktů a komunikace. 
Projev v operativních aktivitách
Vývoj a inovace: Firma zvýší investice do vývoje ekologických produktů a zavede nové produkty odpovídající požadavkům prémiového trhu.
Školení: Školící programy se rozšíří nejen na zaměstnance, ale také na partnery. Tím se zajistí, že zákazníci budou mít vždy kvalitní a konzistentní servis.
Marketing: Více investic do cílených kampaní zvýší povědomí o značce a přiláká nové zákazníky.
Prodej: Nové kamenné prodejny budou optimalizovány pro interakci se zákazníky, což posílí loajalitu a přímý prodej.
Servis: Personalizovaná péče o zákazníky se stane prioritou. Prodejci a partneři budou lépe proškoleni v řešení problémů a budování dlouhodobých vztahů se zákazníky.</t>
  </si>
  <si>
    <t>Cílová skupina:
. Demografické hledisko: Zákazníci s vyšším vzděláním a příjmem, zaměřeni na zdravý životní styl a ekologické hodnoty. Věková skupina 25–65 let.
. Geografické hledisko: Zaměření na městské oblasti, kde je vyšší koncentrace ekologicky smýšlejících zákazníků. Klíčové regiony jsou velká města a prémiové lokality.
. Psychografické hledisko: Zákazníci jsou ochotni investovat do ekologicky certifikovaných produktů a dbají na image značky spojené s přírodními hodnotami.
. Behaviorální hledisko: Ochota vyhledávat nové ekologické produkty, aktivní zapojení do diskuzí na téma zdravého životního stylu a ekologické odpovědnosti.
Požadavky cílové skupiny:
. Prémiové a ekologické produkty.
. Transparentnost ve výrobě (např. bio certifikace).
. Kvalitní zákaznický servis a snadná dostupnost (e-shop, kamenné prodejny).</t>
  </si>
  <si>
    <t>Podstata konkurenční výhody:
. Prémiová kvalita a ekologické certifikace.
. Rychlá adaptace na legislativní změny.
. Kvalitní zákaznická péče: Díky důrazu na odborně vyškolené zaměstnance se organizace odlišuje od konkurence.
. Školicí systém: Jedinečný systém školení (ST2, SO7​), který podporuje znalosti o ekologických hodnotách produktů a zároveň standardizuje přístup partnerů a zaměstnanců.
Hodnotový řetězec:
Primární aktivity:
. Marketing a prodej: Podpora značky skrze cílené marketingové kampaně zaměřené na ekologické a přírodní hodnoty (ST1) a zlepšení brand awareness.
. Servis: Implementace školení pro partnery a zaměstnance zlepšující zákaznický servis.
Podpůrné aktivity:
. Infrastruktura firmy: Posílení školícího systému, který zajišťuje jednotnou kvalitu služeb v celém dodavatelském řetězci.
. Lidské zdroje: Investice do kvality zaměstnanců, kteří jsou školeni pro poskytování špičkové zákaznické péče.</t>
  </si>
  <si>
    <t>Korporátní strategie:
Rozšířit vliv firmy na prémiovém trhu díky spolupráci s hotely, wellness centry a expanzi do nových regionů (SO1, SO4, WO1 z TOWS matice​).
Aktivní zapojení do tvorby průmyslových standardů, které posílí důvěryhodnost a ochrání trh před nekalou konkurencí (WO2​)
Business strategie (dle Portera):
Diferenciační strategie – zaměření na jedinečnost produktů a ekologické hodnoty (ST3, ST1​).
Fokus na prémiové segmenty – vývoj luxusních produktů a rozšíření značky prostřednictvím cíleného marketingu (SO3).</t>
  </si>
  <si>
    <t xml:space="preserve">Zaměření na inovace:
-Materiály a produkce: Investice do ekologického balení a optimalizace dodavatelského řetězce pro podporu prémiových produktů.
-Vývoj produktu: Zaměření na inovace s důrazem na ekologické hodnoty a využití návrhů od zaměstnanců. Např. zaměstnanecké workshopy vedoucí k vývoji nových produktů.
Zaměření na kvalitu:
-Vývoj produktu: Investice do vývoje produktů, které využívají přírodní suroviny a reagují na nové trendy (např. zvýšený zájem o imunitu a zdraví po covidu)​
-Marketing: Budování povědomí o vysoké kvalitě produktů prostřednictvím komunikace s důrazem na certifikace a ekologickou odpovědnost
Zaměření na zákazníka:
Servis: Klíčová oblast, zahrnující personalizovanou zákaznickou podporu a posílení poprodejní péče a vzdělávání partnerů (např. školící programy). 
-Prodej: Rozšíření sítě kamenných prodejen a zlepšení dostupnosti prémiových produktů zárovň se zaměřením na zákaznický zážitek.
-Marketing: Kampaně, které zdůrazňují kvalitní producty s služeb a odborné znalosti zaměstnanců.
Zaměření na efektivnost:
-Servis: školení zaměstnanců se zaměřené na zvýšení produktivity a efektivity zákaznické podpory.
-Prodej: rychleji reakce na objednávky a servisní požadavky zlepší zákaznickou zkušenost.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</si>
</sst>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charset val="238"/>
      <scheme val="minor"/>
    </font>
    <font>
      <sz val="11"/>
      <color theme="1"/>
      <name val="Calibri"/>
      <family val="2"/>
      <scheme val="minor"/>
    </font>
    <font>
      <b/>
      <sz val="9"/>
      <color rgb="FF000000"/>
      <name val="Tahoma"/>
      <family val="2"/>
      <charset val="238"/>
    </font>
    <font>
      <sz val="9"/>
      <color rgb="FF000000"/>
      <name val="Tahoma"/>
      <family val="2"/>
      <charset val="238"/>
    </font>
    <font>
      <b/>
      <sz val="14"/>
      <color theme="1"/>
      <name val="Calibri"/>
      <family val="2"/>
      <charset val="238"/>
      <scheme val="minor"/>
    </font>
    <font>
      <sz val="9"/>
      <color indexed="81"/>
      <name val="Tahoma"/>
      <family val="2"/>
      <charset val="238"/>
    </font>
    <font>
      <b/>
      <sz val="9"/>
      <color indexed="81"/>
      <name val="Tahoma"/>
      <family val="2"/>
      <charset val="238"/>
    </font>
    <font>
      <b/>
      <sz val="18"/>
      <color theme="1"/>
      <name val="Calibri"/>
      <family val="2"/>
      <charset val="238"/>
      <scheme val="minor"/>
    </font>
    <font>
      <b/>
      <sz val="48"/>
      <color theme="1"/>
      <name val="Calibri"/>
      <family val="2"/>
      <charset val="238"/>
      <scheme val="minor"/>
    </font>
    <font>
      <b/>
      <sz val="20"/>
      <color theme="1"/>
      <name val="Calibri"/>
      <family val="2"/>
      <charset val="238"/>
      <scheme val="minor"/>
    </font>
    <font>
      <sz val="11"/>
      <color theme="1"/>
      <name val="Calibri"/>
      <family val="2"/>
      <charset val="238"/>
      <scheme val="minor"/>
    </font>
    <font>
      <b/>
      <sz val="11"/>
      <color theme="1"/>
      <name val="Calibri"/>
      <family val="2"/>
      <charset val="238"/>
      <scheme val="minor"/>
    </font>
    <font>
      <b/>
      <sz val="16"/>
      <color theme="1"/>
      <name val="Calibri"/>
      <family val="2"/>
      <charset val="238"/>
      <scheme val="minor"/>
    </font>
    <font>
      <b/>
      <sz val="12"/>
      <color theme="1"/>
      <name val="Calibri"/>
      <family val="2"/>
      <charset val="238"/>
      <scheme val="minor"/>
    </font>
    <font>
      <sz val="10"/>
      <color theme="1"/>
      <name val="Calibri"/>
      <family val="2"/>
      <charset val="238"/>
      <scheme val="minor"/>
    </font>
    <font>
      <sz val="11"/>
      <color theme="1"/>
      <name val="Calibri"/>
      <family val="2"/>
      <scheme val="minor"/>
    </font>
    <font>
      <u/>
      <sz val="11"/>
      <color theme="10"/>
      <name val="Calibri"/>
      <family val="2"/>
      <charset val="238"/>
      <scheme val="minor"/>
    </font>
    <font>
      <sz val="8"/>
      <name val="Calibri"/>
      <family val="2"/>
      <charset val="238"/>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scheme val="minor"/>
    </font>
    <font>
      <sz val="14"/>
      <color theme="1"/>
      <name val="Calibri"/>
      <family val="2"/>
      <charset val="238"/>
      <scheme val="minor"/>
    </font>
    <font>
      <sz val="12"/>
      <color theme="1"/>
      <name val="Calibri"/>
      <family val="2"/>
      <charset val="238"/>
      <scheme val="minor"/>
    </font>
    <font>
      <sz val="14"/>
      <color theme="1"/>
      <name val="Calibri"/>
      <family val="2"/>
      <scheme val="minor"/>
    </font>
    <font>
      <sz val="11"/>
      <color rgb="FF000000"/>
      <name val="Calibri"/>
      <family val="2"/>
    </font>
    <font>
      <sz val="11"/>
      <name val="Arial"/>
      <family val="2"/>
    </font>
  </fonts>
  <fills count="17">
    <fill>
      <patternFill patternType="none"/>
    </fill>
    <fill>
      <patternFill patternType="gray125"/>
    </fill>
    <fill>
      <patternFill patternType="solid">
        <fgColor rgb="FFFF0000"/>
        <bgColor indexed="64"/>
      </patternFill>
    </fill>
    <fill>
      <patternFill patternType="solid">
        <fgColor rgb="FFC6E0B4"/>
        <bgColor indexed="64"/>
      </patternFill>
    </fill>
    <fill>
      <patternFill patternType="solid">
        <fgColor rgb="FFFFD966"/>
        <bgColor indexed="64"/>
      </patternFill>
    </fill>
    <fill>
      <patternFill patternType="solid">
        <fgColor rgb="FFFFE699"/>
        <bgColor indexed="64"/>
      </patternFill>
    </fill>
    <fill>
      <patternFill patternType="solid">
        <fgColor theme="6" tint="0.79998168889431442"/>
        <bgColor indexed="65"/>
      </patternFill>
    </fill>
    <fill>
      <patternFill patternType="solid">
        <fgColor rgb="FFD9D9D9"/>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C8C5D1"/>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rgb="FFFF6699"/>
        <bgColor indexed="64"/>
      </patternFill>
    </fill>
  </fills>
  <borders count="5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top style="thin">
        <color indexed="64"/>
      </top>
      <bottom style="thin">
        <color auto="1"/>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10" fillId="6" borderId="0" applyNumberFormat="0" applyBorder="0" applyAlignment="0" applyProtection="0"/>
    <xf numFmtId="0" fontId="16" fillId="0" borderId="0" applyNumberFormat="0" applyFill="0" applyBorder="0" applyAlignment="0" applyProtection="0"/>
    <xf numFmtId="0" fontId="25" fillId="0" borderId="0" applyNumberFormat="0" applyFont="0" applyBorder="0" applyProtection="0"/>
    <xf numFmtId="0" fontId="25" fillId="0" borderId="0"/>
  </cellStyleXfs>
  <cellXfs count="215">
    <xf numFmtId="0" fontId="0" fillId="0" borderId="0" xfId="0"/>
    <xf numFmtId="0" fontId="0" fillId="0" borderId="5" xfId="0" applyBorder="1" applyProtection="1">
      <protection hidden="1"/>
    </xf>
    <xf numFmtId="0" fontId="0" fillId="0" borderId="3" xfId="0" applyBorder="1" applyAlignment="1" applyProtection="1">
      <alignment horizontal="center" vertical="center" wrapText="1"/>
      <protection hidden="1"/>
    </xf>
    <xf numFmtId="0" fontId="0" fillId="0" borderId="8" xfId="0" applyBorder="1" applyProtection="1">
      <protection locked="0"/>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36" xfId="0" applyBorder="1" applyAlignment="1">
      <alignment horizontal="center" vertical="center"/>
    </xf>
    <xf numFmtId="0" fontId="0" fillId="0" borderId="0" xfId="0" applyProtection="1">
      <protection hidden="1"/>
    </xf>
    <xf numFmtId="0" fontId="0" fillId="0" borderId="37" xfId="0" applyBorder="1" applyProtection="1">
      <protection hidden="1"/>
    </xf>
    <xf numFmtId="0" fontId="0" fillId="0" borderId="7" xfId="0" applyBorder="1" applyProtection="1">
      <protection hidden="1"/>
    </xf>
    <xf numFmtId="0" fontId="0" fillId="0" borderId="17" xfId="0" applyBorder="1" applyProtection="1">
      <protection hidden="1"/>
    </xf>
    <xf numFmtId="0" fontId="0" fillId="0" borderId="29" xfId="0" applyBorder="1" applyAlignment="1" applyProtection="1">
      <alignment horizontal="center" vertical="center" wrapText="1"/>
      <protection hidden="1"/>
    </xf>
    <xf numFmtId="0" fontId="0" fillId="0" borderId="18" xfId="0" applyBorder="1" applyProtection="1">
      <protection hidden="1"/>
    </xf>
    <xf numFmtId="0" fontId="0" fillId="0" borderId="1" xfId="0" applyBorder="1" applyAlignment="1" applyProtection="1">
      <alignment horizontal="center" vertical="center" wrapText="1"/>
      <protection hidden="1"/>
    </xf>
    <xf numFmtId="0" fontId="0" fillId="0" borderId="2" xfId="0" applyBorder="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horizontal="center" vertical="center"/>
      <protection hidden="1"/>
    </xf>
    <xf numFmtId="0" fontId="0" fillId="0" borderId="0" xfId="0" applyAlignment="1" applyProtection="1">
      <alignment vertical="center"/>
      <protection hidden="1"/>
    </xf>
    <xf numFmtId="0" fontId="0" fillId="0" borderId="4" xfId="0" applyBorder="1" applyProtection="1">
      <protection hidden="1"/>
    </xf>
    <xf numFmtId="0" fontId="0" fillId="0" borderId="0" xfId="0" applyAlignment="1" applyProtection="1">
      <alignment vertical="center" wrapText="1"/>
      <protection hidden="1"/>
    </xf>
    <xf numFmtId="0" fontId="0" fillId="0" borderId="0" xfId="0" applyAlignment="1" applyProtection="1">
      <alignment wrapText="1"/>
      <protection hidden="1"/>
    </xf>
    <xf numFmtId="0" fontId="0" fillId="0" borderId="6" xfId="0" applyBorder="1" applyProtection="1">
      <protection hidden="1"/>
    </xf>
    <xf numFmtId="0" fontId="0" fillId="0" borderId="0" xfId="0" applyProtection="1">
      <protection locked="0" hidden="1"/>
    </xf>
    <xf numFmtId="0" fontId="0" fillId="0" borderId="7" xfId="0" applyBorder="1" applyProtection="1">
      <protection locked="0" hidden="1"/>
    </xf>
    <xf numFmtId="0" fontId="0" fillId="0" borderId="17" xfId="0" applyBorder="1" applyProtection="1">
      <protection locked="0" hidden="1"/>
    </xf>
    <xf numFmtId="0" fontId="0" fillId="0" borderId="18" xfId="0" applyBorder="1" applyProtection="1">
      <protection locked="0" hidden="1"/>
    </xf>
    <xf numFmtId="0" fontId="0" fillId="0" borderId="8" xfId="0" applyBorder="1" applyAlignment="1" applyProtection="1">
      <alignment horizontal="center" vertical="center"/>
      <protection hidden="1"/>
    </xf>
    <xf numFmtId="0" fontId="0" fillId="0" borderId="33" xfId="0" applyBorder="1" applyProtection="1">
      <protection hidden="1"/>
    </xf>
    <xf numFmtId="0" fontId="0" fillId="0" borderId="34" xfId="0" applyBorder="1" applyProtection="1">
      <protection hidden="1"/>
    </xf>
    <xf numFmtId="0" fontId="0" fillId="0" borderId="35" xfId="0" applyBorder="1" applyProtection="1">
      <protection hidden="1"/>
    </xf>
    <xf numFmtId="0" fontId="0" fillId="0" borderId="20" xfId="0" applyBorder="1" applyProtection="1">
      <protection hidden="1"/>
    </xf>
    <xf numFmtId="0" fontId="0" fillId="0" borderId="8" xfId="0" applyBorder="1" applyAlignment="1" applyProtection="1">
      <alignment wrapText="1"/>
      <protection locked="0" hidden="1"/>
    </xf>
    <xf numFmtId="0" fontId="0" fillId="0" borderId="12" xfId="0" applyBorder="1" applyAlignment="1">
      <alignment wrapText="1"/>
    </xf>
    <xf numFmtId="0" fontId="0" fillId="0" borderId="0" xfId="0" applyAlignment="1">
      <alignment wrapText="1"/>
    </xf>
    <xf numFmtId="0" fontId="0" fillId="0" borderId="13"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wrapText="1"/>
    </xf>
    <xf numFmtId="0" fontId="0" fillId="3" borderId="26" xfId="0" applyFill="1" applyBorder="1" applyAlignment="1" applyProtection="1">
      <alignment wrapText="1"/>
      <protection hidden="1"/>
    </xf>
    <xf numFmtId="0" fontId="0" fillId="3" borderId="27" xfId="0" applyFill="1" applyBorder="1" applyAlignment="1" applyProtection="1">
      <alignment wrapText="1"/>
      <protection hidden="1"/>
    </xf>
    <xf numFmtId="0" fontId="0" fillId="3" borderId="30" xfId="0" applyFill="1" applyBorder="1" applyAlignment="1" applyProtection="1">
      <alignment wrapText="1"/>
      <protection hidden="1"/>
    </xf>
    <xf numFmtId="0" fontId="0" fillId="4" borderId="26" xfId="0" applyFill="1" applyBorder="1" applyAlignment="1" applyProtection="1">
      <alignment wrapText="1"/>
      <protection hidden="1"/>
    </xf>
    <xf numFmtId="0" fontId="0" fillId="4" borderId="27" xfId="0" applyFill="1" applyBorder="1" applyAlignment="1" applyProtection="1">
      <alignment wrapText="1"/>
      <protection hidden="1"/>
    </xf>
    <xf numFmtId="0" fontId="0" fillId="4" borderId="28" xfId="0" applyFill="1" applyBorder="1" applyAlignment="1" applyProtection="1">
      <alignment wrapText="1"/>
      <protection hidden="1"/>
    </xf>
    <xf numFmtId="0" fontId="0" fillId="3" borderId="21" xfId="0" applyFill="1" applyBorder="1" applyAlignment="1" applyProtection="1">
      <alignment wrapText="1"/>
      <protection hidden="1"/>
    </xf>
    <xf numFmtId="0" fontId="0" fillId="3" borderId="8" xfId="0" applyFill="1" applyBorder="1" applyAlignment="1" applyProtection="1">
      <alignment wrapText="1"/>
      <protection hidden="1"/>
    </xf>
    <xf numFmtId="0" fontId="0" fillId="3" borderId="31" xfId="0" applyFill="1" applyBorder="1" applyAlignment="1" applyProtection="1">
      <alignment wrapText="1"/>
      <protection hidden="1"/>
    </xf>
    <xf numFmtId="0" fontId="0" fillId="4" borderId="21" xfId="0" applyFill="1" applyBorder="1" applyAlignment="1" applyProtection="1">
      <alignment wrapText="1"/>
      <protection hidden="1"/>
    </xf>
    <xf numFmtId="0" fontId="0" fillId="4" borderId="8" xfId="0" applyFill="1" applyBorder="1" applyAlignment="1" applyProtection="1">
      <alignment wrapText="1"/>
      <protection hidden="1"/>
    </xf>
    <xf numFmtId="0" fontId="0" fillId="4" borderId="22" xfId="0" applyFill="1" applyBorder="1" applyAlignment="1" applyProtection="1">
      <alignment wrapText="1"/>
      <protection hidden="1"/>
    </xf>
    <xf numFmtId="0" fontId="0" fillId="3" borderId="23" xfId="0" applyFill="1" applyBorder="1" applyAlignment="1" applyProtection="1">
      <alignment wrapText="1"/>
      <protection hidden="1"/>
    </xf>
    <xf numFmtId="0" fontId="0" fillId="3" borderId="24" xfId="0" applyFill="1" applyBorder="1" applyAlignment="1" applyProtection="1">
      <alignment wrapText="1"/>
      <protection hidden="1"/>
    </xf>
    <xf numFmtId="0" fontId="0" fillId="3" borderId="32" xfId="0" applyFill="1" applyBorder="1" applyAlignment="1" applyProtection="1">
      <alignment wrapText="1"/>
      <protection hidden="1"/>
    </xf>
    <xf numFmtId="0" fontId="0" fillId="4" borderId="23" xfId="0" applyFill="1" applyBorder="1" applyAlignment="1" applyProtection="1">
      <alignment wrapText="1"/>
      <protection hidden="1"/>
    </xf>
    <xf numFmtId="0" fontId="0" fillId="4" borderId="24" xfId="0" applyFill="1" applyBorder="1" applyAlignment="1" applyProtection="1">
      <alignment wrapText="1"/>
      <protection hidden="1"/>
    </xf>
    <xf numFmtId="0" fontId="0" fillId="4" borderId="25" xfId="0" applyFill="1" applyBorder="1" applyAlignment="1" applyProtection="1">
      <alignment wrapText="1"/>
      <protection hidden="1"/>
    </xf>
    <xf numFmtId="0" fontId="0" fillId="5" borderId="26" xfId="0" applyFill="1" applyBorder="1" applyAlignment="1" applyProtection="1">
      <alignment wrapText="1"/>
      <protection hidden="1"/>
    </xf>
    <xf numFmtId="0" fontId="0" fillId="5" borderId="27" xfId="0" applyFill="1" applyBorder="1" applyAlignment="1" applyProtection="1">
      <alignment wrapText="1"/>
      <protection hidden="1"/>
    </xf>
    <xf numFmtId="0" fontId="0" fillId="5" borderId="30" xfId="0" applyFill="1" applyBorder="1" applyAlignment="1" applyProtection="1">
      <alignment wrapText="1"/>
      <protection hidden="1"/>
    </xf>
    <xf numFmtId="0" fontId="0" fillId="2" borderId="26" xfId="0" applyFill="1" applyBorder="1" applyAlignment="1" applyProtection="1">
      <alignment wrapText="1"/>
      <protection hidden="1"/>
    </xf>
    <xf numFmtId="0" fontId="0" fillId="2" borderId="27" xfId="0" applyFill="1" applyBorder="1" applyAlignment="1" applyProtection="1">
      <alignment wrapText="1"/>
      <protection hidden="1"/>
    </xf>
    <xf numFmtId="0" fontId="0" fillId="2" borderId="28" xfId="0" applyFill="1" applyBorder="1" applyAlignment="1" applyProtection="1">
      <alignment wrapText="1"/>
      <protection hidden="1"/>
    </xf>
    <xf numFmtId="0" fontId="0" fillId="5" borderId="21" xfId="0" applyFill="1" applyBorder="1" applyAlignment="1" applyProtection="1">
      <alignment wrapText="1"/>
      <protection hidden="1"/>
    </xf>
    <xf numFmtId="0" fontId="0" fillId="5" borderId="8" xfId="0" applyFill="1" applyBorder="1" applyAlignment="1" applyProtection="1">
      <alignment wrapText="1"/>
      <protection hidden="1"/>
    </xf>
    <xf numFmtId="0" fontId="0" fillId="5" borderId="31" xfId="0" applyFill="1" applyBorder="1" applyAlignment="1" applyProtection="1">
      <alignment wrapText="1"/>
      <protection hidden="1"/>
    </xf>
    <xf numFmtId="0" fontId="0" fillId="2" borderId="21" xfId="0" applyFill="1" applyBorder="1" applyAlignment="1" applyProtection="1">
      <alignment wrapText="1"/>
      <protection hidden="1"/>
    </xf>
    <xf numFmtId="0" fontId="0" fillId="2" borderId="8" xfId="0" applyFill="1" applyBorder="1" applyAlignment="1" applyProtection="1">
      <alignment wrapText="1"/>
      <protection hidden="1"/>
    </xf>
    <xf numFmtId="0" fontId="0" fillId="2" borderId="22" xfId="0" applyFill="1" applyBorder="1" applyAlignment="1" applyProtection="1">
      <alignment wrapText="1"/>
      <protection hidden="1"/>
    </xf>
    <xf numFmtId="0" fontId="0" fillId="5" borderId="23" xfId="0" applyFill="1" applyBorder="1" applyAlignment="1" applyProtection="1">
      <alignment wrapText="1"/>
      <protection hidden="1"/>
    </xf>
    <xf numFmtId="0" fontId="0" fillId="5" borderId="24" xfId="0" applyFill="1" applyBorder="1" applyAlignment="1" applyProtection="1">
      <alignment wrapText="1"/>
      <protection hidden="1"/>
    </xf>
    <xf numFmtId="0" fontId="0" fillId="5" borderId="32" xfId="0" applyFill="1" applyBorder="1" applyAlignment="1" applyProtection="1">
      <alignment wrapText="1"/>
      <protection hidden="1"/>
    </xf>
    <xf numFmtId="0" fontId="0" fillId="2" borderId="23" xfId="0" applyFill="1" applyBorder="1" applyAlignment="1" applyProtection="1">
      <alignment wrapText="1"/>
      <protection hidden="1"/>
    </xf>
    <xf numFmtId="0" fontId="0" fillId="2" borderId="24" xfId="0" applyFill="1" applyBorder="1" applyAlignment="1" applyProtection="1">
      <alignment wrapText="1"/>
      <protection hidden="1"/>
    </xf>
    <xf numFmtId="0" fontId="0" fillId="2" borderId="25" xfId="0" applyFill="1" applyBorder="1" applyAlignment="1" applyProtection="1">
      <alignment wrapText="1"/>
      <protection hidden="1"/>
    </xf>
    <xf numFmtId="0" fontId="11" fillId="0" borderId="0" xfId="0" applyFont="1" applyAlignment="1">
      <alignment horizontal="center" vertical="center"/>
    </xf>
    <xf numFmtId="0" fontId="14" fillId="0" borderId="0" xfId="0" applyFont="1" applyAlignment="1">
      <alignment horizontal="justify" vertical="center"/>
    </xf>
    <xf numFmtId="0" fontId="0" fillId="0" borderId="0" xfId="0" applyAlignment="1">
      <alignment horizontal="center" vertical="center"/>
    </xf>
    <xf numFmtId="0" fontId="11" fillId="0" borderId="18" xfId="0" applyFont="1" applyBorder="1" applyAlignment="1" applyProtection="1">
      <alignment vertical="center" wrapText="1"/>
      <protection locked="0"/>
    </xf>
    <xf numFmtId="0" fontId="11" fillId="0" borderId="35" xfId="0" applyFont="1" applyBorder="1" applyAlignment="1">
      <alignment vertical="center" wrapText="1"/>
    </xf>
    <xf numFmtId="0" fontId="11" fillId="0" borderId="0" xfId="0" applyFont="1" applyAlignment="1">
      <alignment vertical="center" wrapText="1"/>
    </xf>
    <xf numFmtId="0" fontId="10" fillId="6" borderId="0" xfId="1" applyProtection="1">
      <protection hidden="1"/>
    </xf>
    <xf numFmtId="0" fontId="10" fillId="6" borderId="0" xfId="1" applyAlignment="1" applyProtection="1">
      <alignment horizontal="center" vertical="center" wrapText="1"/>
      <protection hidden="1"/>
    </xf>
    <xf numFmtId="0" fontId="10" fillId="6" borderId="0" xfId="1" applyAlignment="1" applyProtection="1">
      <alignment vertical="center"/>
      <protection hidden="1"/>
    </xf>
    <xf numFmtId="2" fontId="0" fillId="0" borderId="4" xfId="0" applyNumberFormat="1" applyBorder="1" applyProtection="1">
      <protection hidden="1"/>
    </xf>
    <xf numFmtId="0" fontId="10" fillId="6" borderId="0" xfId="1" applyAlignment="1" applyProtection="1">
      <alignment vertical="center" wrapText="1"/>
      <protection hidden="1"/>
    </xf>
    <xf numFmtId="0" fontId="11" fillId="7" borderId="33" xfId="0" applyFont="1" applyFill="1" applyBorder="1" applyAlignment="1">
      <alignment horizontal="justify" vertical="center" wrapText="1"/>
    </xf>
    <xf numFmtId="0" fontId="0" fillId="7" borderId="35" xfId="0" applyFill="1" applyBorder="1" applyAlignment="1">
      <alignment horizontal="justify" vertical="center" wrapText="1"/>
    </xf>
    <xf numFmtId="0" fontId="11" fillId="7" borderId="40" xfId="0" applyFont="1" applyFill="1" applyBorder="1" applyAlignment="1">
      <alignment horizontal="justify" vertical="center" wrapText="1"/>
    </xf>
    <xf numFmtId="0" fontId="0" fillId="0" borderId="40" xfId="0" applyBorder="1" applyAlignment="1" applyProtection="1">
      <alignment wrapText="1"/>
      <protection locked="0"/>
    </xf>
    <xf numFmtId="0" fontId="0" fillId="6" borderId="0" xfId="1" applyFont="1" applyAlignment="1" applyProtection="1">
      <alignment horizontal="center" vertical="center" wrapText="1"/>
      <protection hidden="1"/>
    </xf>
    <xf numFmtId="0" fontId="11" fillId="6" borderId="33" xfId="1" applyFont="1" applyBorder="1" applyAlignment="1">
      <alignment horizontal="center" vertical="center" wrapText="1"/>
    </xf>
    <xf numFmtId="0" fontId="11" fillId="6" borderId="34" xfId="1" applyFont="1" applyBorder="1" applyAlignment="1">
      <alignment horizontal="center" vertical="center" wrapText="1"/>
    </xf>
    <xf numFmtId="0" fontId="11" fillId="0" borderId="45" xfId="0" applyFont="1" applyBorder="1" applyAlignment="1" applyProtection="1">
      <alignment vertical="center" wrapText="1"/>
      <protection locked="0"/>
    </xf>
    <xf numFmtId="0" fontId="11" fillId="0" borderId="46" xfId="0" applyFont="1" applyBorder="1" applyAlignment="1" applyProtection="1">
      <alignment vertical="center" wrapText="1"/>
      <protection locked="0"/>
    </xf>
    <xf numFmtId="0" fontId="16" fillId="0" borderId="0" xfId="2"/>
    <xf numFmtId="0" fontId="0" fillId="0" borderId="0" xfId="0" applyAlignment="1">
      <alignment vertical="top" wrapText="1"/>
    </xf>
    <xf numFmtId="0" fontId="18" fillId="0" borderId="44" xfId="0" applyFont="1" applyBorder="1"/>
    <xf numFmtId="0" fontId="0" fillId="0" borderId="8" xfId="0" applyBorder="1" applyAlignment="1">
      <alignment vertical="top" wrapText="1"/>
    </xf>
    <xf numFmtId="0" fontId="0" fillId="0" borderId="8" xfId="0" applyBorder="1" applyAlignment="1">
      <alignment wrapText="1"/>
    </xf>
    <xf numFmtId="0" fontId="0" fillId="10" borderId="8" xfId="0" applyFill="1" applyBorder="1" applyAlignment="1">
      <alignment vertical="top" wrapText="1"/>
    </xf>
    <xf numFmtId="0" fontId="0" fillId="11" borderId="8" xfId="0" applyFill="1" applyBorder="1" applyAlignment="1">
      <alignment wrapText="1"/>
    </xf>
    <xf numFmtId="0" fontId="0" fillId="11" borderId="8" xfId="0" applyFill="1" applyBorder="1" applyAlignment="1">
      <alignment vertical="top" wrapText="1"/>
    </xf>
    <xf numFmtId="0" fontId="0" fillId="0" borderId="8" xfId="0" applyBorder="1"/>
    <xf numFmtId="0" fontId="0" fillId="0" borderId="8" xfId="0" applyBorder="1" applyAlignment="1">
      <alignment horizontal="left" vertical="top"/>
    </xf>
    <xf numFmtId="0" fontId="0" fillId="0" borderId="0" xfId="0" applyAlignment="1">
      <alignment wrapText="1" shrinkToFit="1"/>
    </xf>
    <xf numFmtId="0" fontId="0" fillId="0" borderId="47" xfId="0" applyBorder="1" applyAlignment="1">
      <alignment wrapText="1" shrinkToFit="1"/>
    </xf>
    <xf numFmtId="0" fontId="0" fillId="0" borderId="49" xfId="0" applyBorder="1" applyAlignment="1">
      <alignment wrapText="1" shrinkToFit="1"/>
    </xf>
    <xf numFmtId="0" fontId="0" fillId="0" borderId="50" xfId="0" applyBorder="1" applyAlignment="1">
      <alignment wrapText="1" shrinkToFit="1"/>
    </xf>
    <xf numFmtId="0" fontId="0" fillId="0" borderId="30" xfId="0" applyBorder="1" applyAlignment="1">
      <alignment wrapText="1" shrinkToFit="1"/>
    </xf>
    <xf numFmtId="0" fontId="0" fillId="0" borderId="48" xfId="0" applyBorder="1" applyAlignment="1">
      <alignment wrapText="1" shrinkToFit="1"/>
    </xf>
    <xf numFmtId="0" fontId="0" fillId="0" borderId="0" xfId="0" applyAlignment="1">
      <alignment horizontal="right" wrapText="1" shrinkToFit="1"/>
    </xf>
    <xf numFmtId="0" fontId="21" fillId="0" borderId="0" xfId="0" applyFont="1" applyAlignment="1">
      <alignment wrapText="1" shrinkToFit="1"/>
    </xf>
    <xf numFmtId="0" fontId="18" fillId="14" borderId="8" xfId="0" applyFont="1" applyFill="1" applyBorder="1" applyAlignment="1">
      <alignment vertical="center" wrapText="1" shrinkToFit="1"/>
    </xf>
    <xf numFmtId="0" fontId="18" fillId="16" borderId="8" xfId="0" applyFont="1" applyFill="1" applyBorder="1" applyAlignment="1">
      <alignment vertical="center" wrapText="1" shrinkToFit="1"/>
    </xf>
    <xf numFmtId="0" fontId="18" fillId="15" borderId="8" xfId="0" applyFont="1" applyFill="1" applyBorder="1" applyAlignment="1">
      <alignment wrapText="1" shrinkToFit="1"/>
    </xf>
    <xf numFmtId="0" fontId="16" fillId="0" borderId="0" xfId="2" applyFill="1"/>
    <xf numFmtId="0" fontId="18" fillId="14" borderId="8" xfId="0" applyFont="1" applyFill="1" applyBorder="1" applyAlignment="1">
      <alignment horizontal="center" vertical="center" wrapText="1" shrinkToFit="1"/>
    </xf>
    <xf numFmtId="0" fontId="18" fillId="15" borderId="8" xfId="0" applyFont="1" applyFill="1" applyBorder="1" applyAlignment="1">
      <alignment vertical="top" wrapText="1" shrinkToFit="1"/>
    </xf>
    <xf numFmtId="0" fontId="22" fillId="0" borderId="0" xfId="0" applyFont="1" applyAlignment="1">
      <alignment wrapText="1" shrinkToFit="1"/>
    </xf>
    <xf numFmtId="0" fontId="22" fillId="0" borderId="0" xfId="0" applyFont="1" applyAlignment="1">
      <alignment horizontal="right" wrapText="1" shrinkToFit="1"/>
    </xf>
    <xf numFmtId="0" fontId="0" fillId="0" borderId="51" xfId="0" applyBorder="1" applyAlignment="1">
      <alignment horizontal="left" vertical="top" wrapText="1" shrinkToFit="1"/>
    </xf>
    <xf numFmtId="0" fontId="23" fillId="0" borderId="51" xfId="0" applyFont="1" applyBorder="1" applyAlignment="1">
      <alignment horizontal="left" vertical="top" wrapText="1" shrinkToFit="1"/>
    </xf>
    <xf numFmtId="0" fontId="21" fillId="0" borderId="0" xfId="0" applyFont="1" applyAlignment="1">
      <alignment horizontal="right" wrapText="1" shrinkToFit="1"/>
    </xf>
    <xf numFmtId="0" fontId="24" fillId="0" borderId="8" xfId="0" applyFont="1" applyBorder="1" applyAlignment="1">
      <alignment horizontal="left" vertical="top" wrapText="1" shrinkToFit="1"/>
    </xf>
    <xf numFmtId="0" fontId="22" fillId="0" borderId="0" xfId="0" applyFont="1" applyAlignment="1">
      <alignment horizontal="left" vertical="top" wrapText="1" shrinkToFit="1"/>
    </xf>
    <xf numFmtId="0" fontId="26" fillId="0" borderId="52" xfId="3" applyFont="1" applyBorder="1" applyAlignment="1" applyProtection="1">
      <alignment horizontal="left" vertical="top"/>
      <protection hidden="1"/>
    </xf>
    <xf numFmtId="0" fontId="26" fillId="0" borderId="0" xfId="3" applyFont="1" applyAlignment="1" applyProtection="1">
      <alignment horizontal="left" vertical="top"/>
      <protection hidden="1"/>
    </xf>
    <xf numFmtId="0" fontId="26" fillId="0" borderId="0" xfId="4" applyFont="1" applyAlignment="1">
      <alignment horizontal="left" vertical="top"/>
    </xf>
    <xf numFmtId="0" fontId="26" fillId="0" borderId="52" xfId="3" applyFont="1" applyBorder="1" applyAlignment="1" applyProtection="1">
      <alignment horizontal="left" vertical="top" wrapText="1"/>
      <protection locked="0" hidden="1"/>
    </xf>
    <xf numFmtId="0" fontId="26" fillId="0" borderId="52" xfId="3" applyFont="1" applyBorder="1" applyAlignment="1" applyProtection="1">
      <alignment horizontal="left" vertical="top" wrapText="1"/>
      <protection hidden="1"/>
    </xf>
    <xf numFmtId="0" fontId="0" fillId="0" borderId="34" xfId="0" applyBorder="1" applyAlignment="1" applyProtection="1">
      <alignment vertical="top" wrapText="1"/>
      <protection locked="0"/>
    </xf>
    <xf numFmtId="0" fontId="11" fillId="7" borderId="33" xfId="0" applyFont="1" applyFill="1" applyBorder="1" applyAlignment="1">
      <alignment horizontal="justify" vertical="top" wrapText="1"/>
    </xf>
    <xf numFmtId="0" fontId="0" fillId="7" borderId="35" xfId="0" applyFill="1" applyBorder="1" applyAlignment="1">
      <alignment horizontal="justify" vertical="top" wrapText="1"/>
    </xf>
    <xf numFmtId="0" fontId="11" fillId="0" borderId="41" xfId="0" applyFont="1" applyBorder="1" applyAlignment="1">
      <alignment vertical="center"/>
    </xf>
    <xf numFmtId="0" fontId="11" fillId="0" borderId="42" xfId="0" applyFont="1" applyBorder="1" applyAlignment="1">
      <alignment vertical="center"/>
    </xf>
    <xf numFmtId="0" fontId="11" fillId="0" borderId="43" xfId="0" applyFont="1" applyBorder="1" applyAlignment="1">
      <alignment vertical="center"/>
    </xf>
    <xf numFmtId="0" fontId="9"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4" fillId="0" borderId="0" xfId="0" applyFont="1" applyAlignment="1">
      <alignment horizontal="center" vertical="center"/>
    </xf>
    <xf numFmtId="0" fontId="0" fillId="8" borderId="4" xfId="0" applyFill="1" applyBorder="1" applyAlignment="1" applyProtection="1">
      <alignment horizontal="left" vertical="center" wrapText="1"/>
      <protection locked="0" hidden="1"/>
    </xf>
    <xf numFmtId="0" fontId="0" fillId="8" borderId="17" xfId="0" applyFill="1" applyBorder="1" applyAlignment="1" applyProtection="1">
      <alignment horizontal="left" vertical="center" wrapText="1"/>
      <protection locked="0" hidden="1"/>
    </xf>
    <xf numFmtId="0" fontId="10" fillId="6" borderId="0" xfId="1" applyAlignment="1" applyProtection="1">
      <alignment horizontal="center" vertical="center" wrapText="1"/>
      <protection hidden="1"/>
    </xf>
    <xf numFmtId="0" fontId="0" fillId="9" borderId="0" xfId="1" applyFont="1" applyFill="1" applyAlignment="1" applyProtection="1">
      <alignment horizontal="center" vertical="center" wrapText="1"/>
      <protection hidden="1"/>
    </xf>
    <xf numFmtId="0" fontId="10" fillId="9" borderId="0" xfId="1" applyFill="1" applyAlignment="1" applyProtection="1">
      <alignment horizontal="center" vertical="center" wrapText="1"/>
      <protection hidden="1"/>
    </xf>
    <xf numFmtId="0" fontId="10" fillId="9" borderId="7" xfId="1" applyFill="1" applyBorder="1" applyAlignment="1" applyProtection="1">
      <alignment horizontal="center" vertical="center" wrapText="1"/>
      <protection hidden="1"/>
    </xf>
    <xf numFmtId="0" fontId="11" fillId="7" borderId="19" xfId="0" applyFont="1" applyFill="1" applyBorder="1" applyAlignment="1" applyProtection="1">
      <alignment horizontal="left" vertical="center" wrapText="1"/>
      <protection hidden="1"/>
    </xf>
    <xf numFmtId="0" fontId="11" fillId="7" borderId="38" xfId="0" applyFont="1" applyFill="1" applyBorder="1" applyAlignment="1" applyProtection="1">
      <alignment horizontal="left" vertical="center" wrapText="1"/>
      <protection hidden="1"/>
    </xf>
    <xf numFmtId="0" fontId="10" fillId="6" borderId="4" xfId="1" applyBorder="1" applyAlignment="1" applyProtection="1">
      <alignment horizontal="center" vertical="center" wrapText="1"/>
      <protection hidden="1"/>
    </xf>
    <xf numFmtId="0" fontId="10" fillId="6" borderId="0" xfId="1" applyAlignment="1" applyProtection="1">
      <alignment horizontal="center" vertical="center"/>
      <protection hidden="1"/>
    </xf>
    <xf numFmtId="0" fontId="0" fillId="7" borderId="6" xfId="0" applyFill="1" applyBorder="1" applyAlignment="1" applyProtection="1">
      <alignment horizontal="left" vertical="center" wrapText="1"/>
      <protection hidden="1"/>
    </xf>
    <xf numFmtId="0" fontId="0" fillId="7" borderId="18" xfId="0" applyFill="1" applyBorder="1" applyAlignment="1" applyProtection="1">
      <alignment horizontal="left" vertical="center" wrapText="1"/>
      <protection hidden="1"/>
    </xf>
    <xf numFmtId="0" fontId="0" fillId="8" borderId="1" xfId="0" applyFill="1" applyBorder="1" applyAlignment="1" applyProtection="1">
      <alignment horizontal="left" vertical="center" wrapText="1"/>
      <protection locked="0" hidden="1"/>
    </xf>
    <xf numFmtId="0" fontId="0" fillId="8" borderId="29" xfId="0" applyFill="1" applyBorder="1" applyAlignment="1" applyProtection="1">
      <alignment horizontal="left" vertical="center" wrapText="1"/>
      <protection locked="0" hidden="1"/>
    </xf>
    <xf numFmtId="0" fontId="0" fillId="7" borderId="4" xfId="0" applyFill="1" applyBorder="1" applyAlignment="1" applyProtection="1">
      <alignment horizontal="left" vertical="center" wrapText="1"/>
      <protection hidden="1"/>
    </xf>
    <xf numFmtId="0" fontId="0" fillId="7" borderId="17" xfId="0" applyFill="1" applyBorder="1" applyAlignment="1" applyProtection="1">
      <alignment horizontal="left" vertical="center" wrapText="1"/>
      <protection hidden="1"/>
    </xf>
    <xf numFmtId="0" fontId="11" fillId="7" borderId="1" xfId="0" applyFont="1" applyFill="1" applyBorder="1" applyAlignment="1" applyProtection="1">
      <alignment horizontal="left" vertical="center" wrapText="1"/>
      <protection hidden="1"/>
    </xf>
    <xf numFmtId="0" fontId="11" fillId="7" borderId="29" xfId="0" applyFont="1" applyFill="1" applyBorder="1" applyAlignment="1" applyProtection="1">
      <alignment horizontal="left" vertical="center" wrapText="1"/>
      <protection hidden="1"/>
    </xf>
    <xf numFmtId="0" fontId="1" fillId="8" borderId="1" xfId="0" applyFont="1" applyFill="1" applyBorder="1" applyAlignment="1" applyProtection="1">
      <alignment horizontal="left" vertical="top" wrapText="1"/>
      <protection locked="0" hidden="1"/>
    </xf>
    <xf numFmtId="0" fontId="15" fillId="8" borderId="29" xfId="0" applyFont="1" applyFill="1" applyBorder="1" applyAlignment="1" applyProtection="1">
      <alignment horizontal="left" vertical="top" wrapText="1"/>
      <protection locked="0" hidden="1"/>
    </xf>
    <xf numFmtId="0" fontId="11" fillId="7" borderId="4" xfId="0" applyFont="1" applyFill="1" applyBorder="1" applyAlignment="1" applyProtection="1">
      <alignment horizontal="left" vertical="center" wrapText="1"/>
      <protection hidden="1"/>
    </xf>
    <xf numFmtId="0" fontId="11" fillId="7" borderId="17" xfId="0" applyFont="1" applyFill="1" applyBorder="1" applyAlignment="1" applyProtection="1">
      <alignment horizontal="left" vertical="center" wrapText="1"/>
      <protection hidden="1"/>
    </xf>
    <xf numFmtId="0" fontId="15" fillId="8" borderId="1" xfId="0" applyFont="1" applyFill="1" applyBorder="1" applyAlignment="1" applyProtection="1">
      <alignment horizontal="center" vertical="top" wrapText="1"/>
      <protection locked="0" hidden="1"/>
    </xf>
    <xf numFmtId="0" fontId="15" fillId="8" borderId="29" xfId="0" applyFont="1" applyFill="1" applyBorder="1" applyAlignment="1" applyProtection="1">
      <alignment horizontal="center" vertical="top" wrapText="1"/>
      <protection locked="0" hidden="1"/>
    </xf>
    <xf numFmtId="0" fontId="0" fillId="0" borderId="0" xfId="0" applyAlignment="1">
      <alignment horizontal="left" vertical="top" wrapText="1"/>
    </xf>
    <xf numFmtId="0" fontId="15" fillId="8" borderId="1" xfId="0" applyFont="1" applyFill="1" applyBorder="1" applyAlignment="1" applyProtection="1">
      <alignment horizontal="left" vertical="top" wrapText="1"/>
      <protection locked="0" hidden="1"/>
    </xf>
    <xf numFmtId="0" fontId="0" fillId="0" borderId="31" xfId="0" applyBorder="1" applyAlignment="1" applyProtection="1">
      <alignment horizontal="center"/>
      <protection hidden="1"/>
    </xf>
    <xf numFmtId="0" fontId="0" fillId="0" borderId="39" xfId="0" applyBorder="1" applyAlignment="1" applyProtection="1">
      <alignment horizontal="center"/>
      <protection hidden="1"/>
    </xf>
    <xf numFmtId="0" fontId="0" fillId="0" borderId="1" xfId="0" applyBorder="1" applyAlignment="1" applyProtection="1">
      <alignment horizontal="center" vertical="center" wrapText="1"/>
      <protection hidden="1"/>
    </xf>
    <xf numFmtId="0" fontId="0" fillId="0" borderId="2" xfId="0" applyBorder="1" applyAlignment="1" applyProtection="1">
      <alignment horizontal="center" vertical="center" wrapText="1"/>
      <protection hidden="1"/>
    </xf>
    <xf numFmtId="0" fontId="0" fillId="0" borderId="0" xfId="0" applyAlignment="1" applyProtection="1">
      <alignment horizontal="center"/>
      <protection hidden="1"/>
    </xf>
    <xf numFmtId="0" fontId="0" fillId="0" borderId="17" xfId="0" applyBorder="1" applyAlignment="1" applyProtection="1">
      <alignment horizontal="center"/>
      <protection hidden="1"/>
    </xf>
    <xf numFmtId="0" fontId="0" fillId="0" borderId="19" xfId="0" applyBorder="1" applyAlignment="1" applyProtection="1">
      <alignment horizontal="center" vertical="center"/>
      <protection hidden="1"/>
    </xf>
    <xf numFmtId="0" fontId="0" fillId="0" borderId="4" xfId="0"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0" fillId="5" borderId="1" xfId="0" applyFill="1" applyBorder="1" applyAlignment="1" applyProtection="1">
      <alignment horizontal="center" wrapText="1"/>
      <protection hidden="1"/>
    </xf>
    <xf numFmtId="0" fontId="0" fillId="5" borderId="2" xfId="0" applyFill="1" applyBorder="1" applyAlignment="1" applyProtection="1">
      <alignment horizontal="center" wrapText="1"/>
      <protection hidden="1"/>
    </xf>
    <xf numFmtId="0" fontId="0" fillId="2" borderId="1" xfId="0" applyFill="1" applyBorder="1" applyAlignment="1" applyProtection="1">
      <alignment horizontal="center" wrapText="1"/>
      <protection hidden="1"/>
    </xf>
    <xf numFmtId="0" fontId="0" fillId="2" borderId="2" xfId="0" applyFill="1" applyBorder="1" applyAlignment="1" applyProtection="1">
      <alignment horizontal="center" wrapText="1"/>
      <protection hidden="1"/>
    </xf>
    <xf numFmtId="0" fontId="0" fillId="2" borderId="29" xfId="0" applyFill="1" applyBorder="1" applyAlignment="1" applyProtection="1">
      <alignment horizontal="center" wrapText="1"/>
      <protection hidden="1"/>
    </xf>
    <xf numFmtId="0" fontId="0" fillId="3" borderId="1" xfId="0" applyFill="1" applyBorder="1" applyAlignment="1" applyProtection="1">
      <alignment horizontal="center"/>
      <protection hidden="1"/>
    </xf>
    <xf numFmtId="0" fontId="0" fillId="3" borderId="2" xfId="0" applyFill="1" applyBorder="1" applyAlignment="1" applyProtection="1">
      <alignment horizontal="center"/>
      <protection hidden="1"/>
    </xf>
    <xf numFmtId="0" fontId="0" fillId="4" borderId="1" xfId="0" applyFill="1" applyBorder="1" applyAlignment="1" applyProtection="1">
      <alignment horizontal="center"/>
      <protection hidden="1"/>
    </xf>
    <xf numFmtId="0" fontId="0" fillId="4" borderId="2" xfId="0" applyFill="1" applyBorder="1" applyAlignment="1" applyProtection="1">
      <alignment horizontal="center"/>
      <protection hidden="1"/>
    </xf>
    <xf numFmtId="0" fontId="0" fillId="4" borderId="29" xfId="0" applyFill="1" applyBorder="1" applyAlignment="1" applyProtection="1">
      <alignment horizontal="center"/>
      <protection hidden="1"/>
    </xf>
    <xf numFmtId="0" fontId="9" fillId="0" borderId="19" xfId="0" applyFont="1" applyBorder="1" applyAlignment="1" applyProtection="1">
      <alignment horizontal="center" vertical="center"/>
      <protection hidden="1"/>
    </xf>
    <xf numFmtId="0" fontId="9" fillId="0" borderId="20" xfId="0" applyFont="1" applyBorder="1" applyAlignment="1" applyProtection="1">
      <alignment horizontal="center" vertical="center"/>
      <protection hidden="1"/>
    </xf>
    <xf numFmtId="0" fontId="9" fillId="0" borderId="38" xfId="0" applyFont="1" applyBorder="1" applyAlignment="1" applyProtection="1">
      <alignment horizontal="center" vertical="center"/>
      <protection hidden="1"/>
    </xf>
    <xf numFmtId="0" fontId="9" fillId="0" borderId="4" xfId="0" applyFont="1" applyBorder="1" applyAlignment="1" applyProtection="1">
      <alignment horizontal="center" vertical="center"/>
      <protection hidden="1"/>
    </xf>
    <xf numFmtId="0" fontId="9" fillId="0" borderId="0" xfId="0" applyFont="1" applyAlignment="1" applyProtection="1">
      <alignment horizontal="center" vertical="center"/>
      <protection hidden="1"/>
    </xf>
    <xf numFmtId="0" fontId="9" fillId="0" borderId="17" xfId="0" applyFont="1" applyBorder="1" applyAlignment="1" applyProtection="1">
      <alignment horizontal="center" vertical="center"/>
      <protection hidden="1"/>
    </xf>
    <xf numFmtId="0" fontId="7" fillId="0" borderId="0" xfId="0" applyFont="1" applyAlignment="1" applyProtection="1">
      <alignment horizontal="center" vertical="center"/>
      <protection hidden="1"/>
    </xf>
    <xf numFmtId="0" fontId="7" fillId="0" borderId="17" xfId="0" applyFont="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8" fillId="0" borderId="7" xfId="0" applyFont="1" applyBorder="1" applyAlignment="1" applyProtection="1">
      <alignment horizontal="center" vertical="center"/>
      <protection hidden="1"/>
    </xf>
    <xf numFmtId="0" fontId="8" fillId="0" borderId="17" xfId="0" applyFont="1" applyBorder="1" applyAlignment="1" applyProtection="1">
      <alignment horizontal="center" vertical="center"/>
      <protection hidden="1"/>
    </xf>
    <xf numFmtId="0" fontId="8" fillId="0" borderId="18" xfId="0" applyFont="1" applyBorder="1" applyAlignment="1" applyProtection="1">
      <alignment horizontal="center" vertical="center"/>
      <protection hidden="1"/>
    </xf>
    <xf numFmtId="0" fontId="0" fillId="0" borderId="1" xfId="0" applyBorder="1" applyAlignment="1" applyProtection="1">
      <alignment horizontal="center"/>
      <protection hidden="1"/>
    </xf>
    <xf numFmtId="0" fontId="0" fillId="0" borderId="2" xfId="0" applyBorder="1" applyAlignment="1" applyProtection="1">
      <alignment horizontal="center"/>
      <protection hidden="1"/>
    </xf>
    <xf numFmtId="0" fontId="0" fillId="0" borderId="29" xfId="0" applyBorder="1" applyAlignment="1" applyProtection="1">
      <alignment horizontal="center"/>
      <protection hidden="1"/>
    </xf>
    <xf numFmtId="0" fontId="10" fillId="6" borderId="4" xfId="1" applyBorder="1" applyAlignment="1" applyProtection="1">
      <alignment horizontal="center" vertical="center"/>
      <protection hidden="1"/>
    </xf>
    <xf numFmtId="0" fontId="10" fillId="6" borderId="0" xfId="1" applyBorder="1" applyAlignment="1" applyProtection="1">
      <alignment horizontal="center" vertical="center"/>
      <protection hidden="1"/>
    </xf>
    <xf numFmtId="0" fontId="0" fillId="6" borderId="4" xfId="1" applyFont="1" applyBorder="1" applyAlignment="1" applyProtection="1">
      <alignment horizontal="center" vertical="center" wrapText="1"/>
      <protection hidden="1"/>
    </xf>
    <xf numFmtId="0" fontId="11" fillId="7" borderId="33" xfId="0" applyFont="1" applyFill="1" applyBorder="1" applyAlignment="1">
      <alignment horizontal="left" vertical="top" wrapText="1"/>
    </xf>
    <xf numFmtId="0" fontId="11" fillId="7" borderId="35" xfId="0" applyFont="1" applyFill="1" applyBorder="1" applyAlignment="1">
      <alignment horizontal="left" vertical="top" wrapText="1"/>
    </xf>
    <xf numFmtId="0" fontId="0" fillId="12" borderId="8" xfId="0" applyFill="1" applyBorder="1" applyAlignment="1">
      <alignment horizontal="left" vertical="center" wrapText="1"/>
    </xf>
    <xf numFmtId="0" fontId="0" fillId="13" borderId="8" xfId="0" applyFill="1" applyBorder="1" applyAlignment="1">
      <alignment horizontal="center"/>
    </xf>
    <xf numFmtId="0" fontId="21" fillId="0" borderId="0" xfId="0" applyFont="1" applyAlignment="1">
      <alignment horizontal="center" wrapText="1" shrinkToFit="1"/>
    </xf>
    <xf numFmtId="0" fontId="0" fillId="0" borderId="0" xfId="0" applyAlignment="1">
      <alignment horizontal="left" wrapText="1" shrinkToFit="1"/>
    </xf>
    <xf numFmtId="0" fontId="21" fillId="0" borderId="0" xfId="0" applyFont="1" applyAlignment="1">
      <alignment horizontal="left" wrapText="1" shrinkToFit="1"/>
    </xf>
    <xf numFmtId="0" fontId="22" fillId="0" borderId="0" xfId="0" applyFont="1" applyAlignment="1">
      <alignment horizontal="left" wrapText="1" shrinkToFit="1"/>
    </xf>
    <xf numFmtId="0" fontId="22" fillId="0" borderId="0" xfId="0" applyFont="1" applyAlignment="1">
      <alignment horizontal="right" wrapText="1" shrinkToFit="1"/>
    </xf>
    <xf numFmtId="0" fontId="22" fillId="0" borderId="0" xfId="0" applyFont="1" applyAlignment="1">
      <alignment horizontal="right" vertical="center" wrapText="1" shrinkToFit="1"/>
    </xf>
    <xf numFmtId="0" fontId="26" fillId="0" borderId="52" xfId="3" applyFont="1" applyBorder="1" applyAlignment="1" applyProtection="1">
      <alignment horizontal="left" vertical="top"/>
      <protection hidden="1"/>
    </xf>
  </cellXfs>
  <cellStyles count="5">
    <cellStyle name="20% - 輔色3" xfId="1" builtinId="38"/>
    <cellStyle name="一般" xfId="0" builtinId="0"/>
    <cellStyle name="一般 2" xfId="3" xr:uid="{42C8E590-3801-4F6A-9CCC-A9A0EA172692}"/>
    <cellStyle name="一般 3" xfId="4" xr:uid="{1AD8D19F-6444-4CA0-AD17-B438B71D6FA0}"/>
    <cellStyle name="超連結" xfId="2" builtinId="8"/>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33CC"/>
      <color rgb="FFFF6699"/>
      <color rgb="FFC8C5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cs-CZ" altLang="zh-TW"/>
              <a:t>Analýza</a:t>
            </a:r>
            <a:r>
              <a:rPr lang="cs-CZ" altLang="zh-TW" baseline="0"/>
              <a:t> hodnotové křivky</a:t>
            </a:r>
            <a:endParaRPr lang="zh-TW"/>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manualLayout>
          <c:layoutTarget val="inner"/>
          <c:xMode val="edge"/>
          <c:yMode val="edge"/>
          <c:x val="5.8450991039913115E-2"/>
          <c:y val="0.11923592368975078"/>
          <c:w val="0.92718119286813283"/>
          <c:h val="0.57243700323678626"/>
        </c:manualLayout>
      </c:layout>
      <c:lineChart>
        <c:grouping val="standard"/>
        <c:varyColors val="0"/>
        <c:ser>
          <c:idx val="1"/>
          <c:order val="0"/>
          <c:tx>
            <c:strRef>
              <c:f>'2.Analýza hodnotové křivky'!$B$3</c:f>
              <c:strCache>
                <c:ptCount val="1"/>
                <c:pt idx="0">
                  <c:v>Konkurence</c:v>
                </c:pt>
              </c:strCache>
            </c:strRef>
          </c:tx>
          <c:spPr>
            <a:ln w="28575" cap="rnd">
              <a:solidFill>
                <a:srgbClr val="FF0000"/>
              </a:solidFill>
              <a:round/>
            </a:ln>
            <a:effectLst>
              <a:outerShdw blurRad="57150" dist="19050" dir="5400000" algn="ctr" rotWithShape="0">
                <a:srgbClr val="000000">
                  <a:alpha val="63000"/>
                </a:srgbClr>
              </a:outerShdw>
            </a:effectLst>
          </c:spPr>
          <c:marker>
            <c:symbol val="none"/>
          </c:marker>
          <c:cat>
            <c:strRef>
              <c:f>'2.Analýza hodnotové křivky'!$C$2:$M$2</c:f>
              <c:strCache>
                <c:ptCount val="11"/>
                <c:pt idx="0">
                  <c:v>cena</c:v>
                </c:pt>
                <c:pt idx="1">
                  <c:v>kvalita,čistota,Certifikáty</c:v>
                </c:pt>
                <c:pt idx="2">
                  <c:v>dostupnost  </c:v>
                </c:pt>
                <c:pt idx="3">
                  <c:v>důvěryhodnost</c:v>
                </c:pt>
                <c:pt idx="4">
                  <c:v>účinky</c:v>
                </c:pt>
                <c:pt idx="5">
                  <c:v>členství a benefity</c:v>
                </c:pt>
                <c:pt idx="6">
                  <c:v>specifika aromy</c:v>
                </c:pt>
                <c:pt idx="7">
                  <c:v>wide selections</c:v>
                </c:pt>
                <c:pt idx="8">
                  <c:v>knowledageable staff</c:v>
                </c:pt>
                <c:pt idx="9">
                  <c:v>brand awareness</c:v>
                </c:pt>
                <c:pt idx="10">
                  <c:v>balení</c:v>
                </c:pt>
              </c:strCache>
            </c:strRef>
          </c:cat>
          <c:val>
            <c:numRef>
              <c:f>'2.Analýza hodnotové křivky'!$C$3:$M$3</c:f>
              <c:numCache>
                <c:formatCode>General</c:formatCode>
                <c:ptCount val="11"/>
                <c:pt idx="0">
                  <c:v>4</c:v>
                </c:pt>
                <c:pt idx="1">
                  <c:v>5</c:v>
                </c:pt>
                <c:pt idx="2">
                  <c:v>2</c:v>
                </c:pt>
                <c:pt idx="3">
                  <c:v>3</c:v>
                </c:pt>
                <c:pt idx="4">
                  <c:v>5</c:v>
                </c:pt>
                <c:pt idx="5">
                  <c:v>3</c:v>
                </c:pt>
                <c:pt idx="6">
                  <c:v>3</c:v>
                </c:pt>
                <c:pt idx="7">
                  <c:v>5</c:v>
                </c:pt>
                <c:pt idx="8">
                  <c:v>5</c:v>
                </c:pt>
                <c:pt idx="9">
                  <c:v>5</c:v>
                </c:pt>
                <c:pt idx="10">
                  <c:v>5</c:v>
                </c:pt>
              </c:numCache>
            </c:numRef>
          </c:val>
          <c:smooth val="0"/>
          <c:extLst>
            <c:ext xmlns:c16="http://schemas.microsoft.com/office/drawing/2014/chart" uri="{C3380CC4-5D6E-409C-BE32-E72D297353CC}">
              <c16:uniqueId val="{00000001-1919-495D-804B-9C7904AFC2B4}"/>
            </c:ext>
          </c:extLst>
        </c:ser>
        <c:ser>
          <c:idx val="2"/>
          <c:order val="1"/>
          <c:tx>
            <c:strRef>
              <c:f>'2.Analýza hodnotové křivky'!$B$4</c:f>
              <c:strCache>
                <c:ptCount val="1"/>
                <c:pt idx="0">
                  <c:v>Požadavek zákaznika</c:v>
                </c:pt>
              </c:strCache>
            </c:strRef>
          </c:tx>
          <c:spPr>
            <a:ln w="34925" cap="rnd">
              <a:solidFill>
                <a:srgbClr val="92D050"/>
              </a:solidFill>
              <a:round/>
            </a:ln>
            <a:effectLst>
              <a:outerShdw blurRad="57150" dist="19050" dir="5400000" algn="ctr" rotWithShape="0">
                <a:srgbClr val="000000">
                  <a:alpha val="63000"/>
                </a:srgbClr>
              </a:outerShdw>
            </a:effectLst>
          </c:spPr>
          <c:marker>
            <c:symbol val="none"/>
          </c:marker>
          <c:cat>
            <c:strRef>
              <c:f>'2.Analýza hodnotové křivky'!$C$2:$M$2</c:f>
              <c:strCache>
                <c:ptCount val="11"/>
                <c:pt idx="0">
                  <c:v>cena</c:v>
                </c:pt>
                <c:pt idx="1">
                  <c:v>kvalita,čistota,Certifikáty</c:v>
                </c:pt>
                <c:pt idx="2">
                  <c:v>dostupnost  </c:v>
                </c:pt>
                <c:pt idx="3">
                  <c:v>důvěryhodnost</c:v>
                </c:pt>
                <c:pt idx="4">
                  <c:v>účinky</c:v>
                </c:pt>
                <c:pt idx="5">
                  <c:v>členství a benefity</c:v>
                </c:pt>
                <c:pt idx="6">
                  <c:v>specifika aromy</c:v>
                </c:pt>
                <c:pt idx="7">
                  <c:v>wide selections</c:v>
                </c:pt>
                <c:pt idx="8">
                  <c:v>knowledageable staff</c:v>
                </c:pt>
                <c:pt idx="9">
                  <c:v>brand awareness</c:v>
                </c:pt>
                <c:pt idx="10">
                  <c:v>balení</c:v>
                </c:pt>
              </c:strCache>
            </c:strRef>
          </c:cat>
          <c:val>
            <c:numRef>
              <c:f>'2.Analýza hodnotové křivky'!$C$4:$M$4</c:f>
              <c:numCache>
                <c:formatCode>General</c:formatCode>
                <c:ptCount val="11"/>
                <c:pt idx="0">
                  <c:v>1</c:v>
                </c:pt>
                <c:pt idx="1">
                  <c:v>5</c:v>
                </c:pt>
                <c:pt idx="2">
                  <c:v>4</c:v>
                </c:pt>
                <c:pt idx="3">
                  <c:v>5</c:v>
                </c:pt>
                <c:pt idx="4">
                  <c:v>4</c:v>
                </c:pt>
                <c:pt idx="5">
                  <c:v>4</c:v>
                </c:pt>
                <c:pt idx="6">
                  <c:v>4</c:v>
                </c:pt>
                <c:pt idx="7">
                  <c:v>4</c:v>
                </c:pt>
                <c:pt idx="8">
                  <c:v>5</c:v>
                </c:pt>
                <c:pt idx="9">
                  <c:v>4</c:v>
                </c:pt>
                <c:pt idx="10">
                  <c:v>4</c:v>
                </c:pt>
              </c:numCache>
            </c:numRef>
          </c:val>
          <c:smooth val="0"/>
          <c:extLst>
            <c:ext xmlns:c16="http://schemas.microsoft.com/office/drawing/2014/chart" uri="{C3380CC4-5D6E-409C-BE32-E72D297353CC}">
              <c16:uniqueId val="{00000002-1919-495D-804B-9C7904AFC2B4}"/>
            </c:ext>
          </c:extLst>
        </c:ser>
        <c:ser>
          <c:idx val="3"/>
          <c:order val="2"/>
          <c:tx>
            <c:strRef>
              <c:f>'2.Analýza hodnotové křivky'!$B$5</c:f>
              <c:strCache>
                <c:ptCount val="1"/>
                <c:pt idx="0">
                  <c:v>modrý oceán</c:v>
                </c:pt>
              </c:strCache>
            </c:strRef>
          </c:tx>
          <c:spPr>
            <a:ln w="57150" cap="rnd">
              <a:solidFill>
                <a:srgbClr val="0070C0"/>
              </a:solidFill>
              <a:round/>
            </a:ln>
            <a:effectLst>
              <a:outerShdw blurRad="57150" dist="19050" dir="5400000" algn="ctr" rotWithShape="0">
                <a:srgbClr val="000000">
                  <a:alpha val="63000"/>
                </a:srgbClr>
              </a:outerShdw>
            </a:effectLst>
          </c:spPr>
          <c:marker>
            <c:symbol val="none"/>
          </c:marker>
          <c:cat>
            <c:strRef>
              <c:f>'2.Analýza hodnotové křivky'!$C$2:$M$2</c:f>
              <c:strCache>
                <c:ptCount val="11"/>
                <c:pt idx="0">
                  <c:v>cena</c:v>
                </c:pt>
                <c:pt idx="1">
                  <c:v>kvalita,čistota,Certifikáty</c:v>
                </c:pt>
                <c:pt idx="2">
                  <c:v>dostupnost  </c:v>
                </c:pt>
                <c:pt idx="3">
                  <c:v>důvěryhodnost</c:v>
                </c:pt>
                <c:pt idx="4">
                  <c:v>účinky</c:v>
                </c:pt>
                <c:pt idx="5">
                  <c:v>členství a benefity</c:v>
                </c:pt>
                <c:pt idx="6">
                  <c:v>specifika aromy</c:v>
                </c:pt>
                <c:pt idx="7">
                  <c:v>wide selections</c:v>
                </c:pt>
                <c:pt idx="8">
                  <c:v>knowledageable staff</c:v>
                </c:pt>
                <c:pt idx="9">
                  <c:v>brand awareness</c:v>
                </c:pt>
                <c:pt idx="10">
                  <c:v>balení</c:v>
                </c:pt>
              </c:strCache>
            </c:strRef>
          </c:cat>
          <c:val>
            <c:numRef>
              <c:f>'2.Analýza hodnotové křivky'!$C$5:$M$5</c:f>
              <c:numCache>
                <c:formatCode>General</c:formatCode>
                <c:ptCount val="11"/>
                <c:pt idx="0">
                  <c:v>3</c:v>
                </c:pt>
                <c:pt idx="1">
                  <c:v>4</c:v>
                </c:pt>
                <c:pt idx="2">
                  <c:v>5</c:v>
                </c:pt>
                <c:pt idx="3">
                  <c:v>4</c:v>
                </c:pt>
                <c:pt idx="4">
                  <c:v>4</c:v>
                </c:pt>
                <c:pt idx="5">
                  <c:v>5</c:v>
                </c:pt>
                <c:pt idx="6">
                  <c:v>5</c:v>
                </c:pt>
                <c:pt idx="7">
                  <c:v>3</c:v>
                </c:pt>
                <c:pt idx="8">
                  <c:v>5</c:v>
                </c:pt>
                <c:pt idx="9">
                  <c:v>4</c:v>
                </c:pt>
                <c:pt idx="10">
                  <c:v>3</c:v>
                </c:pt>
              </c:numCache>
            </c:numRef>
          </c:val>
          <c:smooth val="0"/>
          <c:extLst>
            <c:ext xmlns:c16="http://schemas.microsoft.com/office/drawing/2014/chart" uri="{C3380CC4-5D6E-409C-BE32-E72D297353CC}">
              <c16:uniqueId val="{00000003-1919-495D-804B-9C7904AFC2B4}"/>
            </c:ext>
          </c:extLst>
        </c:ser>
        <c:dLbls>
          <c:showLegendKey val="0"/>
          <c:showVal val="0"/>
          <c:showCatName val="0"/>
          <c:showSerName val="0"/>
          <c:showPercent val="0"/>
          <c:showBubbleSize val="0"/>
        </c:dLbls>
        <c:smooth val="0"/>
        <c:axId val="107147568"/>
        <c:axId val="71923920"/>
      </c:lineChart>
      <c:catAx>
        <c:axId val="1071475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923920"/>
        <c:crosses val="autoZero"/>
        <c:auto val="1"/>
        <c:lblAlgn val="ctr"/>
        <c:lblOffset val="100"/>
        <c:noMultiLvlLbl val="0"/>
      </c:catAx>
      <c:valAx>
        <c:axId val="71923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47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40.png"/><Relationship Id="rId1" Type="http://schemas.openxmlformats.org/officeDocument/2006/relationships/customXml" Target="../ink/ink1.xml"/><Relationship Id="rId4" Type="http://schemas.openxmlformats.org/officeDocument/2006/relationships/image" Target="../media/image50.png"/></Relationships>
</file>

<file path=xl/drawings/drawing1.xml><?xml version="1.0" encoding="utf-8"?>
<xdr:wsDr xmlns:xdr="http://schemas.openxmlformats.org/drawingml/2006/spreadsheetDrawing" xmlns:a="http://schemas.openxmlformats.org/drawingml/2006/main">
  <xdr:twoCellAnchor editAs="oneCell">
    <xdr:from>
      <xdr:col>0</xdr:col>
      <xdr:colOff>25401</xdr:colOff>
      <xdr:row>15</xdr:row>
      <xdr:rowOff>2118360</xdr:rowOff>
    </xdr:from>
    <xdr:to>
      <xdr:col>1</xdr:col>
      <xdr:colOff>833121</xdr:colOff>
      <xdr:row>15</xdr:row>
      <xdr:rowOff>3164112</xdr:rowOff>
    </xdr:to>
    <xdr:pic>
      <xdr:nvPicPr>
        <xdr:cNvPr id="5" name="圖片 4">
          <a:extLst>
            <a:ext uri="{FF2B5EF4-FFF2-40B4-BE49-F238E27FC236}">
              <a16:creationId xmlns:a16="http://schemas.microsoft.com/office/drawing/2014/main" id="{585FBA17-E4D0-9B75-E922-6DA5A5BC7C31}"/>
            </a:ext>
          </a:extLst>
        </xdr:cNvPr>
        <xdr:cNvPicPr>
          <a:picLocks noChangeAspect="1"/>
        </xdr:cNvPicPr>
      </xdr:nvPicPr>
      <xdr:blipFill>
        <a:blip xmlns:r="http://schemas.openxmlformats.org/officeDocument/2006/relationships" r:embed="rId1"/>
        <a:stretch>
          <a:fillRect/>
        </a:stretch>
      </xdr:blipFill>
      <xdr:spPr>
        <a:xfrm>
          <a:off x="25401" y="9550400"/>
          <a:ext cx="4282440" cy="1045752"/>
        </a:xfrm>
        <a:prstGeom prst="rect">
          <a:avLst/>
        </a:prstGeom>
      </xdr:spPr>
    </xdr:pic>
    <xdr:clientData/>
  </xdr:twoCellAnchor>
  <xdr:twoCellAnchor editAs="oneCell">
    <xdr:from>
      <xdr:col>0</xdr:col>
      <xdr:colOff>15240</xdr:colOff>
      <xdr:row>9</xdr:row>
      <xdr:rowOff>5080</xdr:rowOff>
    </xdr:from>
    <xdr:to>
      <xdr:col>0</xdr:col>
      <xdr:colOff>3047389</xdr:colOff>
      <xdr:row>10</xdr:row>
      <xdr:rowOff>1</xdr:rowOff>
    </xdr:to>
    <xdr:pic>
      <xdr:nvPicPr>
        <xdr:cNvPr id="6" name="圖片 5">
          <a:extLst>
            <a:ext uri="{FF2B5EF4-FFF2-40B4-BE49-F238E27FC236}">
              <a16:creationId xmlns:a16="http://schemas.microsoft.com/office/drawing/2014/main" id="{4D42A89E-3898-BDB3-8958-4C6AA749A515}"/>
            </a:ext>
          </a:extLst>
        </xdr:cNvPr>
        <xdr:cNvPicPr>
          <a:picLocks noChangeAspect="1"/>
        </xdr:cNvPicPr>
      </xdr:nvPicPr>
      <xdr:blipFill>
        <a:blip xmlns:r="http://schemas.openxmlformats.org/officeDocument/2006/relationships" r:embed="rId2"/>
        <a:stretch>
          <a:fillRect/>
        </a:stretch>
      </xdr:blipFill>
      <xdr:spPr>
        <a:xfrm>
          <a:off x="15240" y="4216400"/>
          <a:ext cx="3032149" cy="13919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480060</xdr:colOff>
      <xdr:row>6</xdr:row>
      <xdr:rowOff>83820</xdr:rowOff>
    </xdr:from>
    <xdr:to>
      <xdr:col>12</xdr:col>
      <xdr:colOff>449580</xdr:colOff>
      <xdr:row>30</xdr:row>
      <xdr:rowOff>7620</xdr:rowOff>
    </xdr:to>
    <xdr:graphicFrame macro="">
      <xdr:nvGraphicFramePr>
        <xdr:cNvPr id="4" name="圖表 3">
          <a:extLst>
            <a:ext uri="{FF2B5EF4-FFF2-40B4-BE49-F238E27FC236}">
              <a16:creationId xmlns:a16="http://schemas.microsoft.com/office/drawing/2014/main" id="{7B95E4C7-D1B4-5F30-CD90-B494D2856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504568</xdr:colOff>
      <xdr:row>0</xdr:row>
      <xdr:rowOff>10298</xdr:rowOff>
    </xdr:from>
    <xdr:to>
      <xdr:col>5</xdr:col>
      <xdr:colOff>175054</xdr:colOff>
      <xdr:row>4</xdr:row>
      <xdr:rowOff>15446</xdr:rowOff>
    </xdr:to>
    <xdr:cxnSp macro="">
      <xdr:nvCxnSpPr>
        <xdr:cNvPr id="6" name="直線接點 5">
          <a:extLst>
            <a:ext uri="{FF2B5EF4-FFF2-40B4-BE49-F238E27FC236}">
              <a16:creationId xmlns:a16="http://schemas.microsoft.com/office/drawing/2014/main" id="{94B5DB08-C910-36B3-6E9B-EE722C6D47EF}"/>
            </a:ext>
          </a:extLst>
        </xdr:cNvPr>
        <xdr:cNvCxnSpPr/>
      </xdr:nvCxnSpPr>
      <xdr:spPr>
        <a:xfrm>
          <a:off x="3444446" y="10298"/>
          <a:ext cx="669324" cy="8495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622987</xdr:colOff>
      <xdr:row>4</xdr:row>
      <xdr:rowOff>41189</xdr:rowOff>
    </xdr:from>
    <xdr:to>
      <xdr:col>5</xdr:col>
      <xdr:colOff>180203</xdr:colOff>
      <xdr:row>6</xdr:row>
      <xdr:rowOff>5149</xdr:rowOff>
    </xdr:to>
    <xdr:cxnSp macro="">
      <xdr:nvCxnSpPr>
        <xdr:cNvPr id="8" name="直線接點 7">
          <a:extLst>
            <a:ext uri="{FF2B5EF4-FFF2-40B4-BE49-F238E27FC236}">
              <a16:creationId xmlns:a16="http://schemas.microsoft.com/office/drawing/2014/main" id="{2B322A7C-C372-1549-A975-3590AF23DAC0}"/>
            </a:ext>
          </a:extLst>
        </xdr:cNvPr>
        <xdr:cNvCxnSpPr/>
      </xdr:nvCxnSpPr>
      <xdr:spPr>
        <a:xfrm flipH="1">
          <a:off x="3562865" y="1003986"/>
          <a:ext cx="556054" cy="11069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991630</xdr:colOff>
      <xdr:row>4</xdr:row>
      <xdr:rowOff>30892</xdr:rowOff>
    </xdr:from>
    <xdr:to>
      <xdr:col>5</xdr:col>
      <xdr:colOff>509716</xdr:colOff>
      <xdr:row>6</xdr:row>
      <xdr:rowOff>3090</xdr:rowOff>
    </xdr:to>
    <xdr:cxnSp macro="">
      <xdr:nvCxnSpPr>
        <xdr:cNvPr id="11" name="直線接點 10">
          <a:extLst>
            <a:ext uri="{FF2B5EF4-FFF2-40B4-BE49-F238E27FC236}">
              <a16:creationId xmlns:a16="http://schemas.microsoft.com/office/drawing/2014/main" id="{E050A110-FC64-4603-AF14-E0FE8346A721}"/>
            </a:ext>
          </a:extLst>
        </xdr:cNvPr>
        <xdr:cNvCxnSpPr/>
      </xdr:nvCxnSpPr>
      <xdr:spPr>
        <a:xfrm flipH="1">
          <a:off x="3931508" y="993689"/>
          <a:ext cx="516924" cy="111519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888658</xdr:colOff>
      <xdr:row>0</xdr:row>
      <xdr:rowOff>5149</xdr:rowOff>
    </xdr:from>
    <xdr:to>
      <xdr:col>5</xdr:col>
      <xdr:colOff>509717</xdr:colOff>
      <xdr:row>4</xdr:row>
      <xdr:rowOff>5149</xdr:rowOff>
    </xdr:to>
    <xdr:cxnSp macro="">
      <xdr:nvCxnSpPr>
        <xdr:cNvPr id="12" name="直線接點 11">
          <a:extLst>
            <a:ext uri="{FF2B5EF4-FFF2-40B4-BE49-F238E27FC236}">
              <a16:creationId xmlns:a16="http://schemas.microsoft.com/office/drawing/2014/main" id="{B658E824-F43A-4221-8E5F-412E7A9DFB56}"/>
            </a:ext>
          </a:extLst>
        </xdr:cNvPr>
        <xdr:cNvCxnSpPr/>
      </xdr:nvCxnSpPr>
      <xdr:spPr>
        <a:xfrm>
          <a:off x="3828536" y="5149"/>
          <a:ext cx="619897" cy="9627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566351</xdr:colOff>
      <xdr:row>5</xdr:row>
      <xdr:rowOff>283176</xdr:rowOff>
    </xdr:from>
    <xdr:to>
      <xdr:col>1</xdr:col>
      <xdr:colOff>61784</xdr:colOff>
      <xdr:row>5</xdr:row>
      <xdr:rowOff>344960</xdr:rowOff>
    </xdr:to>
    <xdr:sp macro="" textlink="">
      <xdr:nvSpPr>
        <xdr:cNvPr id="18" name="箭號: 向右 17">
          <a:extLst>
            <a:ext uri="{FF2B5EF4-FFF2-40B4-BE49-F238E27FC236}">
              <a16:creationId xmlns:a16="http://schemas.microsoft.com/office/drawing/2014/main" id="{9890272C-5046-8F10-8FDF-613B6C205D2D}"/>
            </a:ext>
          </a:extLst>
        </xdr:cNvPr>
        <xdr:cNvSpPr/>
      </xdr:nvSpPr>
      <xdr:spPr>
        <a:xfrm>
          <a:off x="566351" y="1699054"/>
          <a:ext cx="164757" cy="6178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553995</xdr:colOff>
      <xdr:row>5</xdr:row>
      <xdr:rowOff>286265</xdr:rowOff>
    </xdr:from>
    <xdr:to>
      <xdr:col>2</xdr:col>
      <xdr:colOff>49427</xdr:colOff>
      <xdr:row>5</xdr:row>
      <xdr:rowOff>348049</xdr:rowOff>
    </xdr:to>
    <xdr:sp macro="" textlink="">
      <xdr:nvSpPr>
        <xdr:cNvPr id="19" name="箭號: 向右 18">
          <a:extLst>
            <a:ext uri="{FF2B5EF4-FFF2-40B4-BE49-F238E27FC236}">
              <a16:creationId xmlns:a16="http://schemas.microsoft.com/office/drawing/2014/main" id="{D844BA27-63FD-42B8-AAE8-78E7AC32D9FD}"/>
            </a:ext>
          </a:extLst>
        </xdr:cNvPr>
        <xdr:cNvSpPr/>
      </xdr:nvSpPr>
      <xdr:spPr>
        <a:xfrm>
          <a:off x="1223319" y="1702143"/>
          <a:ext cx="164757" cy="6178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649760</xdr:colOff>
      <xdr:row>4</xdr:row>
      <xdr:rowOff>304799</xdr:rowOff>
    </xdr:from>
    <xdr:to>
      <xdr:col>3</xdr:col>
      <xdr:colOff>42220</xdr:colOff>
      <xdr:row>4</xdr:row>
      <xdr:rowOff>469556</xdr:rowOff>
    </xdr:to>
    <xdr:sp macro="" textlink="">
      <xdr:nvSpPr>
        <xdr:cNvPr id="20" name="箭號: 向右 19">
          <a:extLst>
            <a:ext uri="{FF2B5EF4-FFF2-40B4-BE49-F238E27FC236}">
              <a16:creationId xmlns:a16="http://schemas.microsoft.com/office/drawing/2014/main" id="{6C2DF37F-6E35-4F07-A029-D36182564F29}"/>
            </a:ext>
          </a:extLst>
        </xdr:cNvPr>
        <xdr:cNvSpPr/>
      </xdr:nvSpPr>
      <xdr:spPr>
        <a:xfrm rot="18662094">
          <a:off x="1936922" y="1200664"/>
          <a:ext cx="164757" cy="6178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618868</xdr:colOff>
      <xdr:row>5</xdr:row>
      <xdr:rowOff>212124</xdr:rowOff>
    </xdr:from>
    <xdr:to>
      <xdr:col>3</xdr:col>
      <xdr:colOff>11328</xdr:colOff>
      <xdr:row>5</xdr:row>
      <xdr:rowOff>376881</xdr:rowOff>
    </xdr:to>
    <xdr:sp macro="" textlink="">
      <xdr:nvSpPr>
        <xdr:cNvPr id="21" name="箭號: 向右 20">
          <a:extLst>
            <a:ext uri="{FF2B5EF4-FFF2-40B4-BE49-F238E27FC236}">
              <a16:creationId xmlns:a16="http://schemas.microsoft.com/office/drawing/2014/main" id="{5C9656F4-7678-4B35-B95D-E9BE0CC964FD}"/>
            </a:ext>
          </a:extLst>
        </xdr:cNvPr>
        <xdr:cNvSpPr/>
      </xdr:nvSpPr>
      <xdr:spPr>
        <a:xfrm rot="3070653">
          <a:off x="1906030" y="1679489"/>
          <a:ext cx="164757" cy="6178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854676</xdr:colOff>
      <xdr:row>4</xdr:row>
      <xdr:rowOff>386149</xdr:rowOff>
    </xdr:from>
    <xdr:to>
      <xdr:col>4</xdr:col>
      <xdr:colOff>66933</xdr:colOff>
      <xdr:row>4</xdr:row>
      <xdr:rowOff>431868</xdr:rowOff>
    </xdr:to>
    <xdr:sp macro="" textlink="">
      <xdr:nvSpPr>
        <xdr:cNvPr id="22" name="箭號: 向右 21">
          <a:extLst>
            <a:ext uri="{FF2B5EF4-FFF2-40B4-BE49-F238E27FC236}">
              <a16:creationId xmlns:a16="http://schemas.microsoft.com/office/drawing/2014/main" id="{FB61C0B9-8C33-D403-8EBD-ECEDD9B5BEAC}"/>
            </a:ext>
          </a:extLst>
        </xdr:cNvPr>
        <xdr:cNvSpPr/>
      </xdr:nvSpPr>
      <xdr:spPr>
        <a:xfrm>
          <a:off x="2862649" y="1230527"/>
          <a:ext cx="144162" cy="45719"/>
        </a:xfrm>
        <a:prstGeom prst="rightArrow">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857766</xdr:colOff>
      <xdr:row>5</xdr:row>
      <xdr:rowOff>353198</xdr:rowOff>
    </xdr:from>
    <xdr:to>
      <xdr:col>4</xdr:col>
      <xdr:colOff>70023</xdr:colOff>
      <xdr:row>5</xdr:row>
      <xdr:rowOff>398917</xdr:rowOff>
    </xdr:to>
    <xdr:sp macro="" textlink="">
      <xdr:nvSpPr>
        <xdr:cNvPr id="23" name="箭號: 向右 22">
          <a:extLst>
            <a:ext uri="{FF2B5EF4-FFF2-40B4-BE49-F238E27FC236}">
              <a16:creationId xmlns:a16="http://schemas.microsoft.com/office/drawing/2014/main" id="{3C528716-9A89-4ED3-9DB4-1514EB5DAE17}"/>
            </a:ext>
          </a:extLst>
        </xdr:cNvPr>
        <xdr:cNvSpPr/>
      </xdr:nvSpPr>
      <xdr:spPr>
        <a:xfrm>
          <a:off x="2865739" y="1769076"/>
          <a:ext cx="144162" cy="45719"/>
        </a:xfrm>
        <a:prstGeom prst="rightArrow">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7</xdr:col>
      <xdr:colOff>493883</xdr:colOff>
      <xdr:row>7</xdr:row>
      <xdr:rowOff>51350</xdr:rowOff>
    </xdr:from>
    <xdr:to>
      <xdr:col>7</xdr:col>
      <xdr:colOff>494243</xdr:colOff>
      <xdr:row>7</xdr:row>
      <xdr:rowOff>51710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4" name="筆跡 23">
              <a:extLst>
                <a:ext uri="{FF2B5EF4-FFF2-40B4-BE49-F238E27FC236}">
                  <a16:creationId xmlns:a16="http://schemas.microsoft.com/office/drawing/2014/main" id="{5441FC24-45A0-39EC-34F3-D4D024A0459B}"/>
                </a:ext>
              </a:extLst>
            </xdr14:cNvPr>
            <xdr14:cNvContentPartPr/>
          </xdr14:nvContentPartPr>
          <xdr14:nvPr macro=""/>
          <xdr14:xfrm>
            <a:off x="5647680" y="2224080"/>
            <a:ext cx="360" cy="360"/>
          </xdr14:xfrm>
        </xdr:contentPart>
      </mc:Choice>
      <mc:Fallback xmlns="">
        <xdr:pic>
          <xdr:nvPicPr>
            <xdr:cNvPr id="24" name="筆跡 23">
              <a:extLst>
                <a:ext uri="{FF2B5EF4-FFF2-40B4-BE49-F238E27FC236}">
                  <a16:creationId xmlns:a16="http://schemas.microsoft.com/office/drawing/2014/main" id="{5441FC24-45A0-39EC-34F3-D4D024A0459B}"/>
                </a:ext>
              </a:extLst>
            </xdr:cNvPr>
            <xdr:cNvPicPr/>
          </xdr:nvPicPr>
          <xdr:blipFill>
            <a:blip xmlns:r="http://schemas.openxmlformats.org/officeDocument/2006/relationships" r:embed="rId2"/>
            <a:stretch>
              <a:fillRect/>
            </a:stretch>
          </xdr:blipFill>
          <xdr:spPr>
            <a:xfrm>
              <a:off x="5641560" y="2217960"/>
              <a:ext cx="12600" cy="12600"/>
            </a:xfrm>
            <a:prstGeom prst="rect">
              <a:avLst/>
            </a:prstGeom>
          </xdr:spPr>
        </xdr:pic>
      </mc:Fallback>
    </mc:AlternateContent>
    <xdr:clientData/>
  </xdr:twoCellAnchor>
  <xdr:twoCellAnchor editAs="oneCell">
    <xdr:from>
      <xdr:col>4</xdr:col>
      <xdr:colOff>586322</xdr:colOff>
      <xdr:row>0</xdr:row>
      <xdr:rowOff>-19440</xdr:rowOff>
    </xdr:from>
    <xdr:to>
      <xdr:col>5</xdr:col>
      <xdr:colOff>501524</xdr:colOff>
      <xdr:row>5</xdr:row>
      <xdr:rowOff>541361</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8" name="筆跡 37">
              <a:extLst>
                <a:ext uri="{FF2B5EF4-FFF2-40B4-BE49-F238E27FC236}">
                  <a16:creationId xmlns:a16="http://schemas.microsoft.com/office/drawing/2014/main" id="{27679BD0-AE03-9CA5-6C5F-17C74C851860}"/>
                </a:ext>
              </a:extLst>
            </xdr14:cNvPr>
            <xdr14:cNvContentPartPr/>
          </xdr14:nvContentPartPr>
          <xdr14:nvPr macro=""/>
          <xdr14:xfrm>
            <a:off x="3526200" y="-19440"/>
            <a:ext cx="914040" cy="2048760"/>
          </xdr14:xfrm>
        </xdr:contentPart>
      </mc:Choice>
      <mc:Fallback xmlns="">
        <xdr:pic>
          <xdr:nvPicPr>
            <xdr:cNvPr id="38" name="筆跡 37">
              <a:extLst>
                <a:ext uri="{FF2B5EF4-FFF2-40B4-BE49-F238E27FC236}">
                  <a16:creationId xmlns:a16="http://schemas.microsoft.com/office/drawing/2014/main" id="{27679BD0-AE03-9CA5-6C5F-17C74C851860}"/>
                </a:ext>
              </a:extLst>
            </xdr:cNvPr>
            <xdr:cNvPicPr/>
          </xdr:nvPicPr>
          <xdr:blipFill>
            <a:blip xmlns:r="http://schemas.openxmlformats.org/officeDocument/2006/relationships" r:embed="rId4"/>
            <a:stretch>
              <a:fillRect/>
            </a:stretch>
          </xdr:blipFill>
          <xdr:spPr>
            <a:xfrm>
              <a:off x="3490560" y="-91080"/>
              <a:ext cx="985680" cy="21924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0-17T21:20:37.925"/>
    </inkml:context>
    <inkml:brush xml:id="br0">
      <inkml:brushProperty name="width" value="0.035" units="cm"/>
      <inkml:brushProperty name="height" value="0.035" units="cm"/>
    </inkml:brush>
  </inkml:definitions>
  <inkml:trace contextRef="#ctx0" brushRef="#br0">1 0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1:29:27.326"/>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1 140,'0'-9,"0"-2,0-1,0 0,1 0,0 0,1 0,1 0,-1 1,6-13,-7 23,-1 0,0 1,1-1,-1 0,0 1,1-1,-1 0,1 1,-1-1,1 1,-1-1,1 1,0-1,-1 1,1-1,-1 1,1 0,0-1,0 1,-1 0,1 0,0-1,-1 1,1 0,0 0,0 0,-1 0,2 0,0 0,0 1,0 0,-1-1,1 1,0 0,0 0,-1 0,1 0,-1 0,1 0,1 2,32 38,-35-40,22 27,-15-19,0 0,0 0,9 20,-14-25,0 0,-1 0,0 1,0-1,0 0,0 1,-1-1,0 0,0 1,0-1,0 0,-1 1,1-1,-3 5,3-7,0-1,-1 1,1-1,0 0,0 1,0-1,0 1,0-1,0 1,1-1,-1 1,0-1,1 0,-1 1,1-1,0 0,-1 1,1-1,0 0,0 0,-1 1,3 0,0 1,0 0,0-1,0 1,1-1,-1 0,1 0,0-1,4 3,6 0,0 0,1 0,22 1,18-1,79-6,42 3,-173-1,0 0,0 1,0-1,0 1,0 0,0 0,0 0,-1 0,1 0,0 1,-1-1,1 1,0 0,-1-1,0 1,0 0,1 1,1 2,0 1,0 2,0-1,-1 0,1 1,1 10,-3-15,-2-1,1 0,-1-1,1 1,0 0,0-1,0 1,0-1,0 1,0-1,0 0,1 1,-1-1,0 0,1 0,-1 0,1 0,-1 0,4 1,31 4,-33-6,0 0,0 0,0 0,-1 0,1 1,0-1,0 1,0-1,0 1,0 0,-1 0,1 1,0-1,-1 0,1 1,-1 0,0-1,1 1,-1 0,0 0,2 4,8 11,0 0,1 0,1-2,0 1,1-2,23 18,-23-20,7 4,0 1,-2 1,0 1,24 30,30 30,-34-36,4 7,-26-26,10 16,1 9,-21-37,0 1,-1 0,0 0,-1 0,7 22,24 86,-32-108,7 21,18 37,-24-59,1 0,0-1,1 0,0 0,1-1,16 15,-1-1,32 41,17 16,9 5,-41-23,-23-40,-8-13,-1 1,-1-1,0 2,-1 0,0 0,10 23,-11-22,0 0,1 0,0-1,1 0,15 16,-1 3,11 30,-28-49,1 0,0 0,1 0,11 13,20 33,-5-5,66 87,-16-37,4 9,-22-50,1 27,-64-81,1 0,-1 1,0-1,-1 0,0 1,0-1,-1 1,0-1,-1 1,-2 12,1 14,2-16,1-8,-1 0,0 1,-1-1,0 0,-1 0,0 0,-1 0,-8 20,5-18,0-1,-1-1,-1 1,0-1,0 0,-1-1,-11 10,-75 83,33-33,-16 21,50-59,17-20,0 0,-13 21,-89 131,103-145,1 0,0 0,1 1,-5 22,-1-1,-18 29,22-51,-14 38,21-50,-1 1,0-1,0 1,-1-1,1-1,-9 9,7-8,1 1,-1-1,2 1,-1 0,-4 9,1 1,-1-1,0-1,-20 26,6-9,-5 7,-47 52,49-59,0 0,-35 65,14-31,34-51,1 1,-18 32,-14 23,33-57,1 0,1 1,0 1,-9 25,17-41,1 0,0 0,-1 0,1 0,0 0,0 0,0 0,0 0,0 1,0-1,0 0,0 0,0 0,0 0,1 0,-1 0,1 2,-1-3,1 0,-1 0,1 1,-1-1,1 0,-1 0,1 0,-1 0,1 0,-1 0,1 0,-1 0,0 0,1 0,-1 0,1 0,-1-1,1 1,-1 0,1 0,-1 0,0-1,1 1,-1 0,1 0,-1-1,0 1,1 0,-1-1,0 1,1 0,-1-1,0 1,0-1,1 1,-1 0,0-1,0 1,0-1,0 1,1-1,11-19,-1 1,12-31,-13 28,0 1,17-25,11-36,5 6,-31 52,2 0,17-25,-16 27,-11 16,-1 1,1-1,0 1,0 0,0 0,6-4,-9 8,1 0,-1 0,1 0,0 0,0 0,-1 1,1-1,0 1,0-1,0 1,0-1,0 1,0 0,0 0,0 0,-1 0,1 0,0 1,0-1,0 1,0-1,0 1,0 0,-1-1,3 2,2 2,0-1,-1 1,1 0,-1 0,0 1,0 0,0 0,0 0,-1 0,0 1,0 0,-1-1,0 1,3 7,-3-7,-1-1,0 0,0 1,-1-1,0 1,0 0,0-1,-1 1,0 0,0-1,0 1,-1 0,1-1,-1 1,-1-1,1 1,-4 7,-1-4,0 0,0-1,-1 0,0-1,-1 0,-10 9,-9 8,-4 11,-48 70,50-64,-47 52,-17 13,84-95,1-2,0 2,0-1,1 1,-6 12,-24 50,-20 44,9-19,38-76,-2-2,0 0,-1 0,-17 18,15-20,1 1,1 1,-19 36,28-39,4-17,0 0,0 1,0-1,0 0,0 0,0 0,0 0,0 1,0-1,0 0,0 0,1 0,-1 0,0 0,0 1,0-1,0 0,0 0,0 0,0 0,1 0,-1 0,0 0,0 1,0-1,0 0,0 0,1 0,-1 0,0 0,0 0,0 0,1 0,-1 0,0 0,0 0,0 0,0 0,1 0,-1 0,0 0,0 0,2-1,0 0,0 0,-1 0,1 0,0 0,-1 0,1 0,-1-1,1 1,-1-1,0 1,2-3,56-69,-32 41,-2-1,29-48,-33 42,-2-1,28-81,-45 113,0 1,1-1,0 1,1-1,0 1,0 1,0-1,1 0,0 1,8-8,-13 14,0 0,1 0,-1 0,0 1,1-1,-1 0,1 0,-1 0,0 1,1-1,-1 0,0 0,0 1,1-1,-1 0,0 1,0-1,1 0,-1 1,0-1,0 0,0 1,0-1,1 1,-1-1,0 0,0 1,0-1,0 1,0-1,0 0,0 1,0-1,0 1,0-1,-1 0,1 1,1 20,-1-20,-1 30,-2 0,-1 0,-1-1,-2 0,-1 0,-18 46,14-53,0-1,-1 0,-1 0,-34 38,28-35,1 5,17-27,1 0,0 0,-1 0,1-1,-1 1,0 0,0-1,0 0,0 1,0-1,-1 0,1 0,-1 0,1 0,-1-1,0 1,0-1,1 1,-1-1,0 0,0 0,0-1,-1 1,1 0,-5-1,-161-1,-31 1,92 14,74-8,-1-1,-35-1,42 2,23 1,19 1,11-2,0-2,0 0,49 1,-15-2,-47-1,-1 0,1 0,12 6,-14-5,0 0,0 0,0-1,18 1,0-2,141-3,-151-2,-29 0,-31-2,-12 0,-94-24,128 26,0 1,-1 1,1 0,0 2,-33 3,17 1,0 2,-43 14,79-20,-1 0,1 0,0 1,-1-1,1 0,-1 0,1 1,-1-1,1 0,-1 0,1 0,-1 0,1 0,-1 0,1 0,-1 0,1 0,-1 0,1 0,-1 0,1 0,-1 0,1 0,-1-1,1 1,-1 0,1 0,-1-1,1 1,0 0,-1-1,9-13,33-23,-35 32,16-16,-1-2,23-32,22-23,100-118,-131 156,-31 36,-5 5,-20 20,-33 35,-58 53,53-54,43-38,-2-1,0 0,-29 19,39-29,0 0,0 1,0 0,1 1,-9 12,7-10,1 0,-19 16,-81 48,103-70,6-3,14-4,20-9,13-10,-27 14,-1-1,0-1,-1-1,0 0,17-15,-27 17,-2 0,1 0,-1-1,0 0,-1 0,5-12,19-29,-4 12,-19 27,1 0,0 0,1 1,1 0,17-17,0 5,28-33,6-4,-15 12,-34 35,-2-1,1 1,-2-2,15-27,-24 41,0 1,1 0,-1-1,0 1,0 0,0-1,1 1,-1 0,0-1,0 1,0-1,0 1,0-1,0 1,0 0,0-1,0 1,0-1,0 1,0 0,0-1,0 1,0-1,0 1,-1 0,1-1,0 1,0 0,0-1,-1 0,-11 5,-21 21,27-21,-137 120,-12 9,142-121,11-10,0 0,0 0,0 0,0 0,-1 0,1-1,-1 1,1-1,-1 1,-4 0,7-2,0 0,0 0,0 0,-1-1,1 1,0 0,0 0,0-1,-1 1,1 0,0 0,0-1,0 1,0 0,0 0,-1-1,1 1,0 0,0-1,0 1,0 0,0 0,0-1,0 1,0 0,0-1,0 1,0 0,1 0,-1-1,0 1,0 0,0-1,0 1,0 0,0 0,1-1,-1 1,0 0,0 0,0 0,1-1,-1 1,9-16,-9 15,3-4,23-38,-2 0,-1-2,18-55,-38 92,1 0,0 1,0-1,7-9,10-17,-10 9,2 1,0 0,2 0,0 2,2 0,20-21,-14 18,-2 0,26-39,-15 24,-24 32,-1-1,0 0,0 0,-1-1,5-9,70-124,-51 98,43-49,-65 83,-1 1,0-1,-1 0,0 0,-1-1,6-18,10-20,-16 41,-1-1,0 1,-1-1,0 0,0 0,1-18,-1 15,1 0,0 0,1 0,0 1,1 0,15-23,-3 3,73-122,-3 7,-75 127,1 0,1 2,1-1,0 2,37-31,7-7,-57 52,0 0,0 1,0-1,1 1,-1-1,1 1,0 0,-1 0,5-1,-7 3,0 0,0-1,0 1,0 0,0 0,0 0,0 0,0 0,0 0,0 0,0 0,0 1,0-1,-1 0,1 1,0-1,0 0,0 1,0-1,0 1,-1-1,1 1,0 0,0-1,-1 1,1 0,0-1,-1 1,1 0,-1 0,1 0,-1-1,1 1,-1 0,0 0,0 0,1 0,-1 0,0 0,0 0,0 0,0 0,0 1,1 9,0-1,-1 1,0 0,-1 0,-1-1,1 1,-2-1,-3 14,-36 82,32-83,-44 91,-86 138,65-140,-4-2,-137 146,113-142,-73 75,161-178,13-10,0 0,0 0,0 1,1-1,-1 0,0 1,1-1,-1 1,1 0,-1-1,1 1,0 0,0 0,-2 3,3-4,0-1,0 1,0-1,1 0,-1 1,0-1,0 1,1-1,-1 0,0 1,0-1,1 0,-1 0,1 1,-1-1,0 0,1 0,-1 1,0-1,1 0,-1 0,1 0,-1 0,1 0,-1 1,0-1,1 0,-1 0,1 0,-1 0,1 0,-1-1,1 1,-1 0,0 0,1 0,-1 0,1 0,-1 0,0-1,1 1,-1 0,1 0,-1-1,23-7,-14 3,0-1,0 0,-1 0,0-1,0 0,0-1,-1 0,0 0,6-10,6-12,22-45,-22 39,-11 22,0 0,-1-1,-1 1,0-1,-1-1,-1 1,0-1,-1 0,0 1,-2-1,0-17,-2-16,-1 23,1 1,2-1,4-34,0 43,1 1,0 0,2 0,-1 1,2 0,12-16,9-19,47-72,-63 101,1 0,18-21,-26 33,42-47,-19 23,26-39,-4 9,-26 34,-6 3,0-1,23-42,-28 45,1 2,27-30,8-11,-45 53,-1 0,1 0,-2-1,1 0,-2 0,4-15,-4 13,1 0,1 0,0 0,7-12,-2 6,13-37,-15 37,17-34,-25 53,0 0,0-1,0 1,0 0,0 0,0 0,0 0,0 0,0-1,0 1,0 0,0 0,0 0,0 0,0 0,0 0,0-1,0 1,0 0,0 0,0 0,0 0,0 0,0 0,1 0,-1 0,0-1,0 1,0 0,0 0,0 0,0 0,0 0,1 0,-1 0,0 0,0 0,0 0,0 0,0 0,0 0,1 0,-1 0,0 0,0 0,0 0,0 0,0 0,0 0,1 0,-1 0,0 0,0 0,0 0,0 0,0 0,0 0,1 0,-1 0,0 1,0 10,-5 16,-6 10,-3-1,-1-1,-1 0,-24 35,31-57,0-1,-1 0,-20 18,-11 13,-20 41,40-52,-27 31,35-50,-1-1,0 0,-1-1,-24 14,-19 14,40-24,0-2,-1 0,-39 19,58-32,0 1,-1-1,1 0,0 0,-1 0,1 0,0 1,-1-1,1 0,0 0,-1 0,1 0,0 0,-1 0,1 0,0 0,-1 0,1 0,0 0,-1 0,1 0,0 0,-1 0,1 0,0-1,-1 1,1 0,0 0,0 0,-1 0,1-1,-1 1,2-13,15-20,-12 26,23-46,23-51,-35 72,2 2,1 0,37-46,-13 19,51-64,-34 33,-20 28,-28 42,-1-1,14-35,5-11,-28 63,-1 1,1 0,-1-1,0 1,0-1,0 1,0-1,0 1,0 0,0-1,0 1,0-1,-1 1,1 0,0-1,-1 1,1-1,-1 1,0 0,1 0,-3-3,-23-29,14 19,3 1,1-1,0 0,1 0,-8-25,13 32,-9-18,2 0,1-1,2 0,0-1,1 1,2-1,0-34,2 54,0-1,-1 1,1 0,-2 0,1 0,-1 0,0 0,0 1,-1-1,0 1,-6-8,-19-39,23 37,-1 1,-1-1,-1 1,0 1,-1-1,0 2,-14-15,-10-15,2 0,-32-59,39 62,-35-65,45 82,12 19,0-1,0 1,1-1,-1 1,1-1,-3-10,1 3,0 0,-1 0,-11-18,10 19,0-1,0 0,-4-16,2 6,4 19,1 14,4 207,0-212,0 0,0-1,1 1,0 0,0 0,5 9,-6-14,-1 1,1 0,0 0,0-1,0 1,1-1,-1 1,0-1,1 1,-1-1,1 0,-1 1,1-1,-1 0,1 0,0 0,-1-1,1 1,0 0,0 0,0-1,0 0,3 1,-4-1,0-1,0 1,1-1,-1 0,0 1,0-1,0 0,0 0,0 0,0 0,0 0,0 0,-1 0,1 0,0 0,-1 0,1 0,0 0,-1-1,0 1,1 0,-1 0,0-1,1 1,-1 0,0 0,0-1,0 1,0 0,-1-3,-2-41,-3 21,-1 0,-1 0,-21-43,-45-62,64 114,9 13,-19-30,-27-35,17 23,23 32,-1 1,0 0,-12-14,9 10,1 0,-16-34,21 38,6 15,19 57,-14-40,1 1,1-1,17 32,-16-37,-2 1,0 0,8 31,-9-30,-1 1,2-1,12 24,-8-22,-5-7,-11-30,-46-122,2 3,35 102,5 11,0-1,-2 1,-1 1,-29-42,13 26,2-1,-22-44,36 61,-54-74,34 53,-44-49,24 41,-13-18,41 39,2 3,-26-26,3-3,39 47,-1 0,1 0,-1 1,-1 0,1 0,-1 1,-1 0,0 0,-11-6,22 19,9 13,3 5,61 172,-66-172,18 36,-6-15,12 14,-3-9,-15-24,2 0,1-1,1-1,1 0,44 39,-43-45,1-1,24 15,90 58,-136-89,1 0,0-1,-1 1,1-1,0 1,-1-1,1 0,0 1,0-1,-1 0,1 1,0-1,0 0,0 0,-1 0,1 1,0-1,0 0,0 0,0 0,-1-1,1 1,0 0,0 0,0 0,0-1,0 0,0 0,0 1,0-1,-1 0,1 0,0 0,-1 0,1-1,-1 1,1 0,-1 0,1 0,-1 0,0 0,1-3,0-7,-1 0,0-1,-1-12,0 17,-3-23,-1 0,-1 1,-17-48,1 4,5 5,11 37,-1 1,-2 0,-1 0,-23-44,33 99,11 6,1 0,1-1,2-1,30 45,-10-15,54 89,-62-103,-12-19,16 31,-17-27,3-2,0 0,23 28,45 83,-40-60,41 78,-71-133,1 0,1-1,1 0,26 25,-14-22,1-2,40 25,-12-9,-43-29,1 1,-1 0,27 26,-27-19,-1 0,-1 2,-1-1,-1 2,16 37,10 39,-21-52,25 49,15 38,-16-33,-32-81,1-1,1 0,1-1,0 0,1-1,22 21,-17-18,-5-5,0-1,2 0,16 12,62 34,-92-59,-1 0,0 0,1 1,-1-1,0 0,1 1,-1-1,0 0,1 1,-1-1,0 0,0 1,0-1,1 1,-1-1,0 0,0 1,0-1,0 1,0-1,0 0,0 1,0-1,0 1,0-1,0 1,0-1,0 1,0-1,0 0,0 1,-1 0,-11 14,-27 11,34-23,-34 22,13-8,0-1,0-1,-50 19,27-15,36-13,0-1,0 0,-1 0,0-2,1 0,-26 3,20-5,0 1,0 1,1 1,-20 6,-59 33,74-32,-43 28,43-24,-35 17,58-31,-1-1,0 1,1-1,-1 0,0 0,0 1,1-1,-1 0,0 0,0 0,1 0,-1 0,0 0,0 0,1 0,-1 0,0 0,0-1,1 1,-1 0,0 0,0-1,1 1,-1 0,0-1,1 1,-1-1,0 0,-1-1,1 0,0 1,0-1,0 0,0 0,0 0,0 0,1 0,-1 0,0-4,-1-7,1-1,1-22,0 28,2-16,2 0,0 1,2-1,0 1,2 0,0 0,17-30,21-34,83-117,-121 191,50-81,35-47,-90 138,0-1,1 0,-1 0,-1 0,1 0,0 0,-1 0,0-1,0 1,0-1,-1 0,0 0,0 1,0-1,0 0,-1 0,1 0,-1 0,-1 0,1 0,-1 0,1 1,-4-10,0 1,-2-10,0 0,-3-30,7 41,0 0,-1 0,-1 1,1-1,-2 1,0 0,0 0,-9-13,-61-78,52 72,12 16,2 1,-1 1,-1 0,-18-17,22 24</inkml:trace>
</inkml:ink>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webofscience-com.zdroje.vse.cz/wos/woscc/full-record/WOS:000621585400042" TargetMode="External"/><Relationship Id="rId1" Type="http://schemas.openxmlformats.org/officeDocument/2006/relationships/hyperlink" Target="https://www-webofscience-com.zdroje.vse.cz/wos/woscc/full-record/WOS:000530109205069"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4846-401D-4DA3-87DD-59102ECCE00E}">
  <dimension ref="A1:B30"/>
  <sheetViews>
    <sheetView zoomScale="85" workbookViewId="0">
      <selection activeCell="B20" sqref="B20"/>
    </sheetView>
  </sheetViews>
  <sheetFormatPr defaultRowHeight="14.4" x14ac:dyDescent="0.3"/>
  <cols>
    <col min="1" max="1" width="31.44140625" customWidth="1"/>
    <col min="2" max="2" width="66.33203125" customWidth="1"/>
  </cols>
  <sheetData>
    <row r="1" spans="1:2" ht="25.8" x14ac:dyDescent="0.3">
      <c r="A1" s="137" t="s">
        <v>113</v>
      </c>
      <c r="B1" s="137"/>
    </row>
    <row r="2" spans="1:2" ht="21" x14ac:dyDescent="0.3">
      <c r="A2" s="138" t="s">
        <v>114</v>
      </c>
      <c r="B2" s="138"/>
    </row>
    <row r="3" spans="1:2" x14ac:dyDescent="0.3">
      <c r="A3" s="75"/>
    </row>
    <row r="4" spans="1:2" ht="15.6" x14ac:dyDescent="0.3">
      <c r="A4" s="139"/>
      <c r="B4" s="139"/>
    </row>
    <row r="5" spans="1:2" ht="18" x14ac:dyDescent="0.3">
      <c r="A5" s="140"/>
      <c r="B5" s="140"/>
    </row>
    <row r="6" spans="1:2" x14ac:dyDescent="0.3">
      <c r="A6" s="76"/>
    </row>
    <row r="7" spans="1:2" x14ac:dyDescent="0.3">
      <c r="A7" s="76"/>
    </row>
    <row r="8" spans="1:2" x14ac:dyDescent="0.3">
      <c r="A8" s="77"/>
    </row>
    <row r="9" spans="1:2" ht="15.6" x14ac:dyDescent="0.3">
      <c r="A9" s="139" t="s">
        <v>168</v>
      </c>
      <c r="B9" s="139"/>
    </row>
    <row r="10" spans="1:2" x14ac:dyDescent="0.3">
      <c r="A10" s="75"/>
    </row>
    <row r="11" spans="1:2" ht="15" thickBot="1" x14ac:dyDescent="0.35"/>
    <row r="12" spans="1:2" x14ac:dyDescent="0.3">
      <c r="A12" s="134" t="s">
        <v>115</v>
      </c>
      <c r="B12" s="97"/>
    </row>
    <row r="13" spans="1:2" x14ac:dyDescent="0.3">
      <c r="A13" s="135"/>
      <c r="B13" s="93"/>
    </row>
    <row r="14" spans="1:2" x14ac:dyDescent="0.3">
      <c r="A14" s="135"/>
      <c r="B14" s="93"/>
    </row>
    <row r="15" spans="1:2" ht="15" thickBot="1" x14ac:dyDescent="0.35">
      <c r="A15" s="136"/>
      <c r="B15" s="94"/>
    </row>
    <row r="16" spans="1:2" ht="29.4" thickBot="1" x14ac:dyDescent="0.35">
      <c r="A16" s="79" t="s">
        <v>116</v>
      </c>
      <c r="B16" s="78" t="s">
        <v>171</v>
      </c>
    </row>
    <row r="17" spans="1:2" ht="45" customHeight="1" thickBot="1" x14ac:dyDescent="0.35">
      <c r="A17" s="79" t="s">
        <v>132</v>
      </c>
      <c r="B17" s="78" t="s">
        <v>186</v>
      </c>
    </row>
    <row r="18" spans="1:2" x14ac:dyDescent="0.3">
      <c r="A18" s="80"/>
      <c r="B18" s="80"/>
    </row>
    <row r="19" spans="1:2" x14ac:dyDescent="0.3">
      <c r="A19" s="80"/>
      <c r="B19" s="80"/>
    </row>
    <row r="20" spans="1:2" x14ac:dyDescent="0.3">
      <c r="A20" s="80"/>
      <c r="B20" s="80"/>
    </row>
    <row r="21" spans="1:2" x14ac:dyDescent="0.3">
      <c r="A21" s="80"/>
      <c r="B21" s="80"/>
    </row>
    <row r="22" spans="1:2" x14ac:dyDescent="0.3">
      <c r="A22" s="80"/>
      <c r="B22" s="80"/>
    </row>
    <row r="23" spans="1:2" x14ac:dyDescent="0.3">
      <c r="A23" s="80"/>
      <c r="B23" s="80"/>
    </row>
    <row r="24" spans="1:2" x14ac:dyDescent="0.3">
      <c r="A24" s="80"/>
      <c r="B24" s="80"/>
    </row>
    <row r="25" spans="1:2" x14ac:dyDescent="0.3">
      <c r="A25" s="80"/>
      <c r="B25" s="80"/>
    </row>
    <row r="26" spans="1:2" x14ac:dyDescent="0.3">
      <c r="A26" s="80"/>
      <c r="B26" s="80"/>
    </row>
    <row r="27" spans="1:2" x14ac:dyDescent="0.3">
      <c r="A27" s="80"/>
      <c r="B27" s="80"/>
    </row>
    <row r="28" spans="1:2" x14ac:dyDescent="0.3">
      <c r="A28" s="80"/>
      <c r="B28" s="80"/>
    </row>
    <row r="29" spans="1:2" x14ac:dyDescent="0.3">
      <c r="A29" s="80"/>
      <c r="B29" s="80"/>
    </row>
    <row r="30" spans="1:2" x14ac:dyDescent="0.3">
      <c r="A30" s="80"/>
      <c r="B30" s="80"/>
    </row>
  </sheetData>
  <mergeCells count="6">
    <mergeCell ref="A12:A15"/>
    <mergeCell ref="A1:B1"/>
    <mergeCell ref="A2:B2"/>
    <mergeCell ref="A4:B4"/>
    <mergeCell ref="A5:B5"/>
    <mergeCell ref="A9:B9"/>
  </mergeCell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59764-7A3F-414B-BC0A-480228CC8E44}">
  <sheetPr>
    <tabColor theme="9" tint="0.39997558519241921"/>
  </sheetPr>
  <dimension ref="A1:B22"/>
  <sheetViews>
    <sheetView view="pageBreakPreview" zoomScale="120" zoomScaleNormal="154" zoomScaleSheetLayoutView="120" workbookViewId="0">
      <selection activeCell="C2" sqref="C1:H1048576"/>
    </sheetView>
  </sheetViews>
  <sheetFormatPr defaultRowHeight="14.4" x14ac:dyDescent="0.3"/>
  <cols>
    <col min="1" max="2" width="50.6640625" customWidth="1"/>
  </cols>
  <sheetData>
    <row r="1" spans="1:2" x14ac:dyDescent="0.3">
      <c r="A1" s="143" t="s">
        <v>117</v>
      </c>
      <c r="B1" s="143"/>
    </row>
    <row r="2" spans="1:2" x14ac:dyDescent="0.3">
      <c r="A2" s="143"/>
      <c r="B2" s="143"/>
    </row>
    <row r="3" spans="1:2" ht="14.4" customHeight="1" x14ac:dyDescent="0.3">
      <c r="A3" s="144" t="s">
        <v>167</v>
      </c>
      <c r="B3" s="145"/>
    </row>
    <row r="4" spans="1:2" ht="15" thickBot="1" x14ac:dyDescent="0.35">
      <c r="A4" s="146"/>
      <c r="B4" s="146"/>
    </row>
    <row r="5" spans="1:2" x14ac:dyDescent="0.3">
      <c r="A5" s="147" t="s">
        <v>140</v>
      </c>
      <c r="B5" s="148"/>
    </row>
    <row r="6" spans="1:2" ht="15" thickBot="1" x14ac:dyDescent="0.35">
      <c r="A6" s="151" t="s">
        <v>141</v>
      </c>
      <c r="B6" s="152"/>
    </row>
    <row r="7" spans="1:2" ht="100.2" customHeight="1" thickBot="1" x14ac:dyDescent="0.35">
      <c r="A7" s="153" t="s">
        <v>231</v>
      </c>
      <c r="B7" s="154"/>
    </row>
    <row r="8" spans="1:2" x14ac:dyDescent="0.3">
      <c r="A8" s="147" t="s">
        <v>142</v>
      </c>
      <c r="B8" s="148"/>
    </row>
    <row r="9" spans="1:2" x14ac:dyDescent="0.3">
      <c r="A9" s="155" t="s">
        <v>143</v>
      </c>
      <c r="B9" s="156"/>
    </row>
    <row r="10" spans="1:2" ht="90.75" customHeight="1" x14ac:dyDescent="0.3">
      <c r="A10" s="141" t="s">
        <v>260</v>
      </c>
      <c r="B10" s="142"/>
    </row>
    <row r="11" spans="1:2" x14ac:dyDescent="0.3">
      <c r="A11" s="161" t="s">
        <v>138</v>
      </c>
      <c r="B11" s="162"/>
    </row>
    <row r="12" spans="1:2" ht="30" customHeight="1" thickBot="1" x14ac:dyDescent="0.35">
      <c r="A12" s="155" t="s">
        <v>144</v>
      </c>
      <c r="B12" s="156"/>
    </row>
    <row r="13" spans="1:2" ht="148.19999999999999" customHeight="1" thickBot="1" x14ac:dyDescent="0.35">
      <c r="A13" s="159" t="s">
        <v>292</v>
      </c>
      <c r="B13" s="160"/>
    </row>
    <row r="14" spans="1:2" ht="15" thickBot="1" x14ac:dyDescent="0.35">
      <c r="A14" s="157" t="s">
        <v>124</v>
      </c>
      <c r="B14" s="158"/>
    </row>
    <row r="15" spans="1:2" x14ac:dyDescent="0.3">
      <c r="A15" t="s">
        <v>188</v>
      </c>
    </row>
    <row r="16" spans="1:2" x14ac:dyDescent="0.3">
      <c r="A16" t="s">
        <v>232</v>
      </c>
    </row>
    <row r="17" spans="1:1" x14ac:dyDescent="0.3">
      <c r="A17" t="s">
        <v>267</v>
      </c>
    </row>
    <row r="18" spans="1:1" x14ac:dyDescent="0.3">
      <c r="A18" t="s">
        <v>268</v>
      </c>
    </row>
    <row r="19" spans="1:1" x14ac:dyDescent="0.3">
      <c r="A19" t="s">
        <v>269</v>
      </c>
    </row>
    <row r="20" spans="1:1" x14ac:dyDescent="0.3">
      <c r="A20" t="s">
        <v>270</v>
      </c>
    </row>
    <row r="21" spans="1:1" x14ac:dyDescent="0.3">
      <c r="A21" t="s">
        <v>271</v>
      </c>
    </row>
    <row r="22" spans="1:1" x14ac:dyDescent="0.3">
      <c r="A22" t="s">
        <v>272</v>
      </c>
    </row>
  </sheetData>
  <mergeCells count="12">
    <mergeCell ref="A14:B14"/>
    <mergeCell ref="A12:B12"/>
    <mergeCell ref="A13:B13"/>
    <mergeCell ref="A11:B11"/>
    <mergeCell ref="A10:B10"/>
    <mergeCell ref="A1:B2"/>
    <mergeCell ref="A3:B4"/>
    <mergeCell ref="A5:B5"/>
    <mergeCell ref="A6:B6"/>
    <mergeCell ref="A7:B7"/>
    <mergeCell ref="A8:B8"/>
    <mergeCell ref="A9:B9"/>
  </mergeCells>
  <pageMargins left="0.7" right="0.7" top="0.78740157499999996" bottom="0.78740157499999996" header="0.3" footer="0.3"/>
  <pageSetup paperSize="9" scale="51" orientation="portrait" horizont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3BEEA-5F20-4CFD-B68F-951065FE3D30}">
  <sheetPr>
    <tabColor theme="8" tint="0.39997558519241921"/>
  </sheetPr>
  <dimension ref="A1:B24"/>
  <sheetViews>
    <sheetView topLeftCell="A14" zoomScale="150" zoomScaleNormal="150" workbookViewId="0">
      <selection activeCell="A22" sqref="A22"/>
    </sheetView>
  </sheetViews>
  <sheetFormatPr defaultRowHeight="14.4" x14ac:dyDescent="0.3"/>
  <cols>
    <col min="1" max="2" width="50.6640625" customWidth="1"/>
  </cols>
  <sheetData>
    <row r="1" spans="1:2" x14ac:dyDescent="0.3">
      <c r="A1" s="143" t="s">
        <v>139</v>
      </c>
      <c r="B1" s="143"/>
    </row>
    <row r="2" spans="1:2" x14ac:dyDescent="0.3">
      <c r="A2" s="143"/>
      <c r="B2" s="143"/>
    </row>
    <row r="3" spans="1:2" ht="14.4" customHeight="1" x14ac:dyDescent="0.3">
      <c r="A3" s="144" t="s">
        <v>167</v>
      </c>
      <c r="B3" s="145"/>
    </row>
    <row r="4" spans="1:2" ht="15" thickBot="1" x14ac:dyDescent="0.35">
      <c r="A4" s="146"/>
      <c r="B4" s="146"/>
    </row>
    <row r="5" spans="1:2" x14ac:dyDescent="0.3">
      <c r="A5" s="147" t="s">
        <v>149</v>
      </c>
      <c r="B5" s="148"/>
    </row>
    <row r="6" spans="1:2" ht="15" thickBot="1" x14ac:dyDescent="0.35">
      <c r="A6" s="151" t="s">
        <v>150</v>
      </c>
      <c r="B6" s="152"/>
    </row>
    <row r="7" spans="1:2" ht="193.8" customHeight="1" thickBot="1" x14ac:dyDescent="0.35">
      <c r="A7" s="153" t="s">
        <v>233</v>
      </c>
      <c r="B7" s="154"/>
    </row>
    <row r="8" spans="1:2" x14ac:dyDescent="0.3">
      <c r="A8" s="147" t="s">
        <v>145</v>
      </c>
      <c r="B8" s="148"/>
    </row>
    <row r="9" spans="1:2" x14ac:dyDescent="0.3">
      <c r="A9" s="155" t="s">
        <v>146</v>
      </c>
      <c r="B9" s="156"/>
    </row>
    <row r="10" spans="1:2" ht="187.2" customHeight="1" x14ac:dyDescent="0.3">
      <c r="A10" s="141" t="s">
        <v>243</v>
      </c>
      <c r="B10" s="142"/>
    </row>
    <row r="11" spans="1:2" ht="29.4" customHeight="1" x14ac:dyDescent="0.3">
      <c r="A11" s="161" t="s">
        <v>148</v>
      </c>
      <c r="B11" s="162"/>
    </row>
    <row r="12" spans="1:2" ht="14.4" customHeight="1" thickBot="1" x14ac:dyDescent="0.35">
      <c r="A12" s="155" t="s">
        <v>147</v>
      </c>
      <c r="B12" s="156"/>
    </row>
    <row r="13" spans="1:2" ht="135" customHeight="1" thickBot="1" x14ac:dyDescent="0.35">
      <c r="A13" s="159" t="s">
        <v>187</v>
      </c>
      <c r="B13" s="160"/>
    </row>
    <row r="14" spans="1:2" ht="205.8" customHeight="1" thickBot="1" x14ac:dyDescent="0.35">
      <c r="A14" s="163" t="e" vm="1">
        <v>#VALUE!</v>
      </c>
      <c r="B14" s="164"/>
    </row>
    <row r="15" spans="1:2" ht="15" thickBot="1" x14ac:dyDescent="0.35">
      <c r="A15" s="157" t="s">
        <v>124</v>
      </c>
      <c r="B15" s="158"/>
    </row>
    <row r="16" spans="1:2" x14ac:dyDescent="0.3">
      <c r="A16" t="s">
        <v>234</v>
      </c>
    </row>
    <row r="17" spans="1:1" x14ac:dyDescent="0.3">
      <c r="A17" t="s">
        <v>235</v>
      </c>
    </row>
    <row r="18" spans="1:1" ht="15.6" customHeight="1" x14ac:dyDescent="0.3">
      <c r="A18" t="s">
        <v>236</v>
      </c>
    </row>
    <row r="19" spans="1:1" x14ac:dyDescent="0.3">
      <c r="A19" t="s">
        <v>237</v>
      </c>
    </row>
    <row r="20" spans="1:1" x14ac:dyDescent="0.3">
      <c r="A20" t="s">
        <v>238</v>
      </c>
    </row>
    <row r="21" spans="1:1" x14ac:dyDescent="0.3">
      <c r="A21" t="s">
        <v>239</v>
      </c>
    </row>
    <row r="22" spans="1:1" x14ac:dyDescent="0.3">
      <c r="A22" t="s">
        <v>240</v>
      </c>
    </row>
    <row r="23" spans="1:1" x14ac:dyDescent="0.3">
      <c r="A23" t="s">
        <v>241</v>
      </c>
    </row>
    <row r="24" spans="1:1" x14ac:dyDescent="0.3">
      <c r="A24" t="s">
        <v>242</v>
      </c>
    </row>
  </sheetData>
  <mergeCells count="13">
    <mergeCell ref="A15:B15"/>
    <mergeCell ref="A7:B7"/>
    <mergeCell ref="A8:B8"/>
    <mergeCell ref="A9:B9"/>
    <mergeCell ref="A10:B10"/>
    <mergeCell ref="A11:B11"/>
    <mergeCell ref="A12:B12"/>
    <mergeCell ref="A13:B13"/>
    <mergeCell ref="A14:B14"/>
    <mergeCell ref="A1:B2"/>
    <mergeCell ref="A3:B4"/>
    <mergeCell ref="A5:B5"/>
    <mergeCell ref="A6:B6"/>
  </mergeCells>
  <phoneticPr fontId="17" type="noConversion"/>
  <pageMargins left="0.7" right="0.7" top="0.78740157499999996" bottom="0.78740157499999996" header="0.3" footer="0.3"/>
  <pageSetup paperSize="9" scale="79" orientation="portrait" horizont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E8C85-D35F-4D14-BFB4-82D03FD1BC97}">
  <sheetPr>
    <tabColor theme="7" tint="0.39997558519241921"/>
  </sheetPr>
  <dimension ref="A1:B21"/>
  <sheetViews>
    <sheetView tabSelected="1" zoomScale="140" zoomScaleNormal="140" workbookViewId="0">
      <selection activeCell="A7" sqref="A7:B7"/>
    </sheetView>
  </sheetViews>
  <sheetFormatPr defaultRowHeight="14.4" x14ac:dyDescent="0.3"/>
  <cols>
    <col min="1" max="2" width="50.6640625" customWidth="1"/>
  </cols>
  <sheetData>
    <row r="1" spans="1:2" x14ac:dyDescent="0.3">
      <c r="A1" s="143" t="s">
        <v>152</v>
      </c>
      <c r="B1" s="143"/>
    </row>
    <row r="2" spans="1:2" x14ac:dyDescent="0.3">
      <c r="A2" s="143"/>
      <c r="B2" s="143"/>
    </row>
    <row r="3" spans="1:2" ht="14.4" customHeight="1" x14ac:dyDescent="0.3">
      <c r="A3" s="144" t="s">
        <v>167</v>
      </c>
      <c r="B3" s="145"/>
    </row>
    <row r="4" spans="1:2" ht="15" thickBot="1" x14ac:dyDescent="0.35">
      <c r="A4" s="146"/>
      <c r="B4" s="146"/>
    </row>
    <row r="5" spans="1:2" x14ac:dyDescent="0.3">
      <c r="A5" s="147" t="s">
        <v>153</v>
      </c>
      <c r="B5" s="148"/>
    </row>
    <row r="6" spans="1:2" ht="15" thickBot="1" x14ac:dyDescent="0.35">
      <c r="A6" s="151" t="s">
        <v>154</v>
      </c>
      <c r="B6" s="152"/>
    </row>
    <row r="7" spans="1:2" ht="186" customHeight="1" thickBot="1" x14ac:dyDescent="0.35">
      <c r="A7" s="153" t="s">
        <v>244</v>
      </c>
      <c r="B7" s="154"/>
    </row>
    <row r="8" spans="1:2" x14ac:dyDescent="0.3">
      <c r="A8" s="147" t="s">
        <v>160</v>
      </c>
      <c r="B8" s="148"/>
    </row>
    <row r="9" spans="1:2" ht="28.95" customHeight="1" x14ac:dyDescent="0.3">
      <c r="A9" s="155" t="s">
        <v>151</v>
      </c>
      <c r="B9" s="156"/>
    </row>
    <row r="10" spans="1:2" ht="110.4" customHeight="1" thickBot="1" x14ac:dyDescent="0.35">
      <c r="A10" s="141"/>
      <c r="B10" s="142"/>
    </row>
    <row r="11" spans="1:2" x14ac:dyDescent="0.3">
      <c r="A11" s="147" t="s">
        <v>157</v>
      </c>
      <c r="B11" s="148"/>
    </row>
    <row r="12" spans="1:2" ht="28.95" customHeight="1" x14ac:dyDescent="0.3">
      <c r="A12" s="155" t="s">
        <v>155</v>
      </c>
      <c r="B12" s="156"/>
    </row>
    <row r="13" spans="1:2" ht="90.75" customHeight="1" x14ac:dyDescent="0.3">
      <c r="A13" s="141" t="s">
        <v>247</v>
      </c>
      <c r="B13" s="142"/>
    </row>
    <row r="14" spans="1:2" ht="14.4" customHeight="1" x14ac:dyDescent="0.3">
      <c r="A14" s="161" t="s">
        <v>169</v>
      </c>
      <c r="B14" s="162"/>
    </row>
    <row r="15" spans="1:2" ht="14.4" customHeight="1" thickBot="1" x14ac:dyDescent="0.35">
      <c r="A15" s="155" t="s">
        <v>156</v>
      </c>
      <c r="B15" s="156"/>
    </row>
    <row r="16" spans="1:2" ht="256.2" customHeight="1" thickBot="1" x14ac:dyDescent="0.35">
      <c r="A16" s="159" t="s">
        <v>250</v>
      </c>
      <c r="B16" s="160"/>
    </row>
    <row r="17" spans="1:2" ht="15" thickBot="1" x14ac:dyDescent="0.35">
      <c r="A17" s="157" t="s">
        <v>124</v>
      </c>
      <c r="B17" s="158"/>
    </row>
    <row r="18" spans="1:2" ht="15.6" customHeight="1" x14ac:dyDescent="0.3">
      <c r="A18" s="165" t="s">
        <v>245</v>
      </c>
      <c r="B18" s="165"/>
    </row>
    <row r="19" spans="1:2" x14ac:dyDescent="0.3">
      <c r="A19" t="s">
        <v>246</v>
      </c>
    </row>
    <row r="20" spans="1:2" x14ac:dyDescent="0.3">
      <c r="A20" t="s">
        <v>248</v>
      </c>
    </row>
    <row r="21" spans="1:2" x14ac:dyDescent="0.3">
      <c r="A21" t="s">
        <v>249</v>
      </c>
    </row>
  </sheetData>
  <mergeCells count="16">
    <mergeCell ref="A18:B18"/>
    <mergeCell ref="A17:B17"/>
    <mergeCell ref="A7:B7"/>
    <mergeCell ref="A8:B8"/>
    <mergeCell ref="A16:B16"/>
    <mergeCell ref="A9:B9"/>
    <mergeCell ref="A10:B10"/>
    <mergeCell ref="A14:B14"/>
    <mergeCell ref="A15:B15"/>
    <mergeCell ref="A11:B11"/>
    <mergeCell ref="A12:B12"/>
    <mergeCell ref="A13:B13"/>
    <mergeCell ref="A1:B2"/>
    <mergeCell ref="A3:B4"/>
    <mergeCell ref="A5:B5"/>
    <mergeCell ref="A6:B6"/>
  </mergeCells>
  <pageMargins left="0.7" right="0.7" top="0.78740157499999996" bottom="0.78740157499999996" header="0.3" footer="0.3"/>
  <pageSetup paperSize="9" scale="86" orientation="portrait" horizontalDpi="4294967294"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B7B0F-0AFE-44C3-8271-F23F7B7B3ACC}">
  <sheetPr>
    <tabColor theme="5" tint="0.39997558519241921"/>
  </sheetPr>
  <dimension ref="A1:B25"/>
  <sheetViews>
    <sheetView view="pageBreakPreview" zoomScale="140" zoomScaleNormal="130" zoomScaleSheetLayoutView="140" workbookViewId="0">
      <selection activeCell="C16" sqref="C1:E1048576"/>
    </sheetView>
  </sheetViews>
  <sheetFormatPr defaultRowHeight="14.4" x14ac:dyDescent="0.3"/>
  <cols>
    <col min="1" max="1" width="50.6640625" customWidth="1"/>
    <col min="2" max="2" width="52.21875" customWidth="1"/>
  </cols>
  <sheetData>
    <row r="1" spans="1:2" x14ac:dyDescent="0.3">
      <c r="A1" s="143" t="s">
        <v>152</v>
      </c>
      <c r="B1" s="143"/>
    </row>
    <row r="2" spans="1:2" x14ac:dyDescent="0.3">
      <c r="A2" s="143"/>
      <c r="B2" s="143"/>
    </row>
    <row r="3" spans="1:2" x14ac:dyDescent="0.3">
      <c r="A3" s="144" t="s">
        <v>167</v>
      </c>
      <c r="B3" s="145"/>
    </row>
    <row r="4" spans="1:2" ht="15" thickBot="1" x14ac:dyDescent="0.35">
      <c r="A4" s="146"/>
      <c r="B4" s="146"/>
    </row>
    <row r="5" spans="1:2" x14ac:dyDescent="0.3">
      <c r="A5" s="147" t="s">
        <v>161</v>
      </c>
      <c r="B5" s="148"/>
    </row>
    <row r="6" spans="1:2" ht="28.95" customHeight="1" thickBot="1" x14ac:dyDescent="0.35">
      <c r="A6" s="151" t="s">
        <v>158</v>
      </c>
      <c r="B6" s="152"/>
    </row>
    <row r="7" spans="1:2" ht="239.4" customHeight="1" thickBot="1" x14ac:dyDescent="0.35">
      <c r="A7" s="141" t="e" vm="2">
        <v>#VALUE!</v>
      </c>
      <c r="B7" s="142"/>
    </row>
    <row r="8" spans="1:2" x14ac:dyDescent="0.3">
      <c r="A8" s="147" t="s">
        <v>159</v>
      </c>
      <c r="B8" s="148"/>
    </row>
    <row r="9" spans="1:2" ht="28.95" customHeight="1" x14ac:dyDescent="0.3">
      <c r="A9" s="155" t="s">
        <v>164</v>
      </c>
      <c r="B9" s="156"/>
    </row>
    <row r="10" spans="1:2" ht="113.4" customHeight="1" thickBot="1" x14ac:dyDescent="0.35">
      <c r="A10" s="141" t="s">
        <v>230</v>
      </c>
      <c r="B10" s="142"/>
    </row>
    <row r="11" spans="1:2" x14ac:dyDescent="0.3">
      <c r="A11" s="147" t="s">
        <v>162</v>
      </c>
      <c r="B11" s="148"/>
    </row>
    <row r="12" spans="1:2" ht="14.4" customHeight="1" x14ac:dyDescent="0.3">
      <c r="A12" s="161" t="s">
        <v>163</v>
      </c>
      <c r="B12" s="156"/>
    </row>
    <row r="13" spans="1:2" ht="108.6" customHeight="1" x14ac:dyDescent="0.3">
      <c r="A13" s="141" t="s">
        <v>259</v>
      </c>
      <c r="B13" s="142"/>
    </row>
    <row r="14" spans="1:2" ht="14.4" customHeight="1" x14ac:dyDescent="0.3">
      <c r="A14" s="161" t="s">
        <v>165</v>
      </c>
      <c r="B14" s="162"/>
    </row>
    <row r="15" spans="1:2" ht="14.4" customHeight="1" thickBot="1" x14ac:dyDescent="0.35">
      <c r="A15" s="155" t="s">
        <v>166</v>
      </c>
      <c r="B15" s="156"/>
    </row>
    <row r="16" spans="1:2" ht="209.4" customHeight="1" thickBot="1" x14ac:dyDescent="0.35">
      <c r="A16" s="166" t="e" vm="3">
        <v>#VALUE!</v>
      </c>
      <c r="B16" s="160"/>
    </row>
    <row r="17" spans="1:2" ht="15" thickBot="1" x14ac:dyDescent="0.35">
      <c r="A17" s="157" t="s">
        <v>124</v>
      </c>
      <c r="B17" s="158"/>
    </row>
    <row r="18" spans="1:2" x14ac:dyDescent="0.3">
      <c r="A18" t="s">
        <v>261</v>
      </c>
    </row>
    <row r="19" spans="1:2" x14ac:dyDescent="0.3">
      <c r="A19" t="s">
        <v>262</v>
      </c>
    </row>
    <row r="20" spans="1:2" x14ac:dyDescent="0.3">
      <c r="A20" t="s">
        <v>263</v>
      </c>
    </row>
    <row r="21" spans="1:2" ht="13.8" customHeight="1" x14ac:dyDescent="0.3">
      <c r="A21" t="s">
        <v>264</v>
      </c>
    </row>
    <row r="22" spans="1:2" x14ac:dyDescent="0.3">
      <c r="A22" t="s">
        <v>265</v>
      </c>
    </row>
    <row r="23" spans="1:2" x14ac:dyDescent="0.3">
      <c r="A23" s="95" t="s">
        <v>257</v>
      </c>
    </row>
    <row r="24" spans="1:2" x14ac:dyDescent="0.3">
      <c r="A24" t="s">
        <v>266</v>
      </c>
    </row>
    <row r="25" spans="1:2" x14ac:dyDescent="0.3">
      <c r="A25" s="116" t="s">
        <v>258</v>
      </c>
    </row>
  </sheetData>
  <mergeCells count="15">
    <mergeCell ref="A10:B10"/>
    <mergeCell ref="A16:B16"/>
    <mergeCell ref="A17:B17"/>
    <mergeCell ref="A11:B11"/>
    <mergeCell ref="A12:B12"/>
    <mergeCell ref="A13:B13"/>
    <mergeCell ref="A14:B14"/>
    <mergeCell ref="A15:B15"/>
    <mergeCell ref="A1:B2"/>
    <mergeCell ref="A3:B4"/>
    <mergeCell ref="A5:B5"/>
    <mergeCell ref="A6:B6"/>
    <mergeCell ref="A8:B8"/>
    <mergeCell ref="A9:B9"/>
    <mergeCell ref="A7:B7"/>
  </mergeCells>
  <hyperlinks>
    <hyperlink ref="A23" r:id="rId1" xr:uid="{15561DD8-1EE0-4D45-9191-6970AA7F68E0}"/>
    <hyperlink ref="A25" r:id="rId2" xr:uid="{B307E7C2-EEE5-4F4C-B985-0E5125C4E138}"/>
  </hyperlinks>
  <pageMargins left="0.7" right="0.7" top="0.78740157499999996" bottom="0.78740157499999996" header="0.3" footer="0.3"/>
  <pageSetup paperSize="9" scale="85" orientation="portrait" horizontalDpi="4294967294"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BBD88-640B-4659-B198-E59F276D6C5F}">
  <sheetPr>
    <tabColor theme="2" tint="-0.249977111117893"/>
  </sheetPr>
  <dimension ref="A1:M40"/>
  <sheetViews>
    <sheetView view="pageBreakPreview" topLeftCell="A21" zoomScaleNormal="150" zoomScaleSheetLayoutView="100" workbookViewId="0">
      <selection activeCell="B20" sqref="B20"/>
    </sheetView>
  </sheetViews>
  <sheetFormatPr defaultColWidth="9.109375" defaultRowHeight="14.4" x14ac:dyDescent="0.3"/>
  <cols>
    <col min="1" max="1" width="20.5546875" style="8" customWidth="1"/>
    <col min="2" max="2" width="82.88671875" style="8" customWidth="1"/>
    <col min="3" max="3" width="13.88671875" style="8" customWidth="1"/>
    <col min="4" max="4" width="9.109375" style="8" hidden="1" customWidth="1"/>
    <col min="5" max="5" width="11.88671875" style="8" hidden="1" customWidth="1"/>
    <col min="6" max="12" width="9.109375" style="8"/>
    <col min="13" max="13" width="0" style="8" hidden="1" customWidth="1"/>
    <col min="14" max="16384" width="9.109375" style="8"/>
  </cols>
  <sheetData>
    <row r="1" spans="1:13" x14ac:dyDescent="0.3">
      <c r="A1" s="167" t="s">
        <v>11</v>
      </c>
      <c r="B1" s="168"/>
    </row>
    <row r="2" spans="1:13" x14ac:dyDescent="0.3">
      <c r="A2" s="27" t="s">
        <v>12</v>
      </c>
      <c r="B2" s="27" t="s">
        <v>111</v>
      </c>
      <c r="C2" s="8" t="s">
        <v>101</v>
      </c>
      <c r="D2" s="8" t="s">
        <v>106</v>
      </c>
      <c r="F2" s="8" t="s">
        <v>109</v>
      </c>
      <c r="M2" s="8" t="s">
        <v>102</v>
      </c>
    </row>
    <row r="3" spans="1:13" ht="43.2" x14ac:dyDescent="0.3">
      <c r="A3" s="32" t="s">
        <v>347</v>
      </c>
      <c r="B3" s="21" t="s">
        <v>317</v>
      </c>
      <c r="C3" s="8" t="s">
        <v>102</v>
      </c>
      <c r="D3" s="8" t="str">
        <f>IF(C3="Slabá stránka","W",IF(C3="Silná stránka","S",IF(C3="Příležitost","O","T")))</f>
        <v>S</v>
      </c>
      <c r="E3" s="8">
        <f>IF(C3="Slabá stránka",COUNTIF(C3,"Slabá stránka"),IF(C3="Silná stránka",COUNTIF(C3,"Silná stránka"),IF(C3="Příležitost",COUNTIF(C3,"Příležitost"),COUNTIF(C3,"Hrozba"))))</f>
        <v>1</v>
      </c>
      <c r="F3" s="8" t="str">
        <f>_xlfn.CONCAT(D3,E3)</f>
        <v>S1</v>
      </c>
      <c r="M3" s="8" t="s">
        <v>103</v>
      </c>
    </row>
    <row r="4" spans="1:13" ht="43.2" x14ac:dyDescent="0.3">
      <c r="A4" s="32" t="s">
        <v>306</v>
      </c>
      <c r="B4" s="32" t="s">
        <v>318</v>
      </c>
      <c r="C4" s="8" t="s">
        <v>102</v>
      </c>
      <c r="D4" s="8" t="str">
        <f>IF(C4="Slabá stránka","W",IF(C4="Silná stránka","S",IF(C4="Příležitost","O","T")))</f>
        <v>S</v>
      </c>
      <c r="E4" s="8">
        <f>IF(C4="Slabá stránka",COUNTIF(C3:C4,"Slabá stránka"),IF(C4="Silná stránka",COUNTIF(C3:C4,"Silná stránka"),IF(C4="Příležitost",COUNTIF(C3:C4,"Příležitost"),COUNTIF(C3:C4,"Hrozba"))))</f>
        <v>2</v>
      </c>
      <c r="F4" s="8" t="str">
        <f t="shared" ref="F4:F40" si="0">_xlfn.CONCAT(D4,E4)</f>
        <v>S2</v>
      </c>
      <c r="M4" s="8" t="s">
        <v>104</v>
      </c>
    </row>
    <row r="5" spans="1:13" ht="43.2" x14ac:dyDescent="0.3">
      <c r="A5" s="32" t="s">
        <v>307</v>
      </c>
      <c r="B5" s="32" t="s">
        <v>319</v>
      </c>
      <c r="C5" s="8" t="s">
        <v>102</v>
      </c>
      <c r="D5" s="8" t="str">
        <f>IF(C5="Slabá stránka","W",IF(C5="Silná stránka","S",IF(C5="Příležitost","O","T")))</f>
        <v>S</v>
      </c>
      <c r="E5" s="8">
        <f>IF(C5="Slabá stránka",COUNTIF(C$3:C5,"Slabá stránka"),IF(C5="Silná stránka",COUNTIF(C$3:C5,"Silná stránka"),IF(C5="Příležitost",COUNTIF(C$3:C5,"Příležitost"),COUNTIF(C$3:C5,"Hrozba"))))</f>
        <v>3</v>
      </c>
      <c r="F5" s="8" t="str">
        <f t="shared" si="0"/>
        <v>S3</v>
      </c>
      <c r="M5" s="8" t="s">
        <v>105</v>
      </c>
    </row>
    <row r="6" spans="1:13" ht="43.2" x14ac:dyDescent="0.3">
      <c r="A6" s="32" t="s">
        <v>320</v>
      </c>
      <c r="B6" s="32" t="s">
        <v>345</v>
      </c>
      <c r="C6" s="8" t="s">
        <v>105</v>
      </c>
      <c r="D6" s="8" t="str">
        <f t="shared" ref="D6:D40" si="1">IF(C6="Slabá stránka","W",IF(C6="Silná stránka","S",IF(C6="Příležitost","O","T")))</f>
        <v>T</v>
      </c>
      <c r="E6" s="8">
        <f>IF(C6="Slabá stránka",COUNTIF(C$3:C6,"Slabá stránka"),IF(C6="Silná stránka",COUNTIF(C$3:C6,"Silná stránka"),IF(C6="Příležitost",COUNTIF(C$3:C6,"Příležitost"),COUNTIF(C$3:C6,"Hrozba"))))</f>
        <v>1</v>
      </c>
      <c r="F6" s="8" t="str">
        <f t="shared" si="0"/>
        <v>T1</v>
      </c>
    </row>
    <row r="7" spans="1:13" ht="57.6" x14ac:dyDescent="0.3">
      <c r="A7" s="32" t="s">
        <v>321</v>
      </c>
      <c r="B7" s="32" t="s">
        <v>295</v>
      </c>
      <c r="C7" s="8" t="s">
        <v>102</v>
      </c>
      <c r="D7" s="8" t="str">
        <f t="shared" si="1"/>
        <v>S</v>
      </c>
      <c r="E7" s="8">
        <f>IF(C7="Slabá stránka",COUNTIF(C$3:C7,"Slabá stránka"),IF(C7="Silná stránka",COUNTIF(C$3:C7,"Silná stránka"),IF(C7="Příležitost",COUNTIF(C$3:C7,"Příležitost"),COUNTIF(C$3:C7,"Hrozba"))))</f>
        <v>4</v>
      </c>
      <c r="F7" s="8" t="str">
        <f t="shared" si="0"/>
        <v>S4</v>
      </c>
    </row>
    <row r="8" spans="1:13" ht="28.8" x14ac:dyDescent="0.3">
      <c r="A8" s="32" t="s">
        <v>308</v>
      </c>
      <c r="B8" s="32" t="s">
        <v>322</v>
      </c>
      <c r="C8" s="8" t="s">
        <v>105</v>
      </c>
      <c r="D8" s="8" t="str">
        <f t="shared" si="1"/>
        <v>T</v>
      </c>
      <c r="E8" s="8">
        <f>IF(C8="Slabá stránka",COUNTIF(C$3:C8,"Slabá stránka"),IF(C8="Silná stránka",COUNTIF(C$3:C8,"Silná stránka"),IF(C8="Příležitost",COUNTIF(C$3:C8,"Příležitost"),COUNTIF(C$3:C8,"Hrozba"))))</f>
        <v>2</v>
      </c>
      <c r="F8" s="8" t="str">
        <f t="shared" si="0"/>
        <v>T2</v>
      </c>
    </row>
    <row r="9" spans="1:13" ht="28.8" x14ac:dyDescent="0.3">
      <c r="A9" s="32" t="s">
        <v>323</v>
      </c>
      <c r="B9" s="32" t="s">
        <v>324</v>
      </c>
      <c r="C9" s="8" t="s">
        <v>105</v>
      </c>
      <c r="D9" s="8" t="str">
        <f t="shared" si="1"/>
        <v>T</v>
      </c>
      <c r="E9" s="8">
        <f>IF(C9="Slabá stránka",COUNTIF(C$3:C9,"Slabá stránka"),IF(C9="Silná stránka",COUNTIF(C$3:C9,"Silná stránka"),IF(C9="Příležitost",COUNTIF(C$3:C9,"Příležitost"),COUNTIF(C$3:C9,"Hrozba"))))</f>
        <v>3</v>
      </c>
      <c r="F9" s="8" t="str">
        <f t="shared" si="0"/>
        <v>T3</v>
      </c>
    </row>
    <row r="10" spans="1:13" ht="43.2" x14ac:dyDescent="0.3">
      <c r="A10" s="32" t="s">
        <v>300</v>
      </c>
      <c r="B10" s="32" t="s">
        <v>316</v>
      </c>
      <c r="C10" s="8" t="s">
        <v>105</v>
      </c>
      <c r="D10" s="8" t="str">
        <f t="shared" si="1"/>
        <v>T</v>
      </c>
      <c r="E10" s="8">
        <f>IF(C10="Slabá stránka",COUNTIF(C$3:C10,"Slabá stránka"),IF(C10="Silná stránka",COUNTIF(C$3:C10,"Silná stránka"),IF(C10="Příležitost",COUNTIF(C$3:C10,"Příležitost"),COUNTIF(C$3:C10,"Hrozba"))))</f>
        <v>4</v>
      </c>
      <c r="F10" s="8" t="str">
        <f t="shared" si="0"/>
        <v>T4</v>
      </c>
    </row>
    <row r="11" spans="1:13" ht="43.2" x14ac:dyDescent="0.3">
      <c r="A11" s="32" t="s">
        <v>343</v>
      </c>
      <c r="B11" s="32" t="s">
        <v>325</v>
      </c>
      <c r="C11" s="8" t="s">
        <v>105</v>
      </c>
      <c r="D11" s="8" t="str">
        <f t="shared" si="1"/>
        <v>T</v>
      </c>
      <c r="E11" s="8">
        <f>IF(C11="Slabá stránka",COUNTIF(C$3:C11,"Slabá stránka"),IF(C11="Silná stránka",COUNTIF(C$3:C11,"Silná stránka"),IF(C11="Příležitost",COUNTIF(C$3:C11,"Příležitost"),COUNTIF(C$3:C11,"Hrozba"))))</f>
        <v>5</v>
      </c>
      <c r="F11" s="8" t="str">
        <f t="shared" si="0"/>
        <v>T5</v>
      </c>
    </row>
    <row r="12" spans="1:13" ht="43.2" x14ac:dyDescent="0.3">
      <c r="A12" s="32" t="s">
        <v>302</v>
      </c>
      <c r="B12" s="32" t="s">
        <v>309</v>
      </c>
      <c r="C12" s="8" t="s">
        <v>102</v>
      </c>
      <c r="D12" s="8" t="str">
        <f t="shared" si="1"/>
        <v>S</v>
      </c>
      <c r="E12" s="8">
        <f>IF(C12="Slabá stránka",COUNTIF(C$3:C12,"Slabá stránka"),IF(C12="Silná stránka",COUNTIF(C$3:C12,"Silná stránka"),IF(C12="Příležitost",COUNTIF(C$3:C12,"Příležitost"),COUNTIF(C$3:C12,"Hrozba"))))</f>
        <v>5</v>
      </c>
      <c r="F12" s="8" t="str">
        <f t="shared" si="0"/>
        <v>S5</v>
      </c>
    </row>
    <row r="13" spans="1:13" ht="57.6" x14ac:dyDescent="0.3">
      <c r="A13" s="32" t="s">
        <v>296</v>
      </c>
      <c r="B13" s="32" t="s">
        <v>326</v>
      </c>
      <c r="C13" s="8" t="s">
        <v>104</v>
      </c>
      <c r="D13" s="8" t="str">
        <f t="shared" si="1"/>
        <v>O</v>
      </c>
      <c r="E13" s="8">
        <f>IF(C13="Slabá stránka",COUNTIF(C$3:C13,"Slabá stránka"),IF(C13="Silná stránka",COUNTIF(C$3:C13,"Silná stránka"),IF(C13="Příležitost",COUNTIF(C$3:C13,"Příležitost"),COUNTIF(C$3:C13,"Hrozba"))))</f>
        <v>1</v>
      </c>
      <c r="F13" s="8" t="str">
        <f t="shared" si="0"/>
        <v>O1</v>
      </c>
    </row>
    <row r="14" spans="1:13" ht="43.2" x14ac:dyDescent="0.3">
      <c r="A14" s="32" t="s">
        <v>311</v>
      </c>
      <c r="B14" s="32" t="s">
        <v>310</v>
      </c>
      <c r="C14" s="8" t="s">
        <v>105</v>
      </c>
      <c r="D14" s="8" t="str">
        <f t="shared" si="1"/>
        <v>T</v>
      </c>
      <c r="E14" s="8">
        <f>IF(C14="Slabá stránka",COUNTIF(C$3:C14,"Slabá stránka"),IF(C14="Silná stránka",COUNTIF(C$3:C14,"Silná stránka"),IF(C14="Příležitost",COUNTIF(C$3:C14,"Příležitost"),COUNTIF(C$3:C14,"Hrozba"))))</f>
        <v>6</v>
      </c>
      <c r="F14" s="8" t="str">
        <f t="shared" si="0"/>
        <v>T6</v>
      </c>
    </row>
    <row r="15" spans="1:13" ht="43.2" x14ac:dyDescent="0.3">
      <c r="A15" s="32" t="s">
        <v>312</v>
      </c>
      <c r="B15" s="32" t="s">
        <v>327</v>
      </c>
      <c r="C15" s="8" t="s">
        <v>102</v>
      </c>
      <c r="D15" s="8" t="str">
        <f t="shared" si="1"/>
        <v>S</v>
      </c>
      <c r="E15" s="8">
        <f>IF(C15="Slabá stránka",COUNTIF(C$3:C15,"Slabá stránka"),IF(C15="Silná stránka",COUNTIF(C$3:C15,"Silná stránka"),IF(C15="Příležitost",COUNTIF(C$3:C15,"Příležitost"),COUNTIF(C$3:C15,"Hrozba"))))</f>
        <v>6</v>
      </c>
      <c r="F15" s="8" t="str">
        <f t="shared" si="0"/>
        <v>S6</v>
      </c>
    </row>
    <row r="16" spans="1:13" ht="43.2" x14ac:dyDescent="0.3">
      <c r="A16" s="32" t="s">
        <v>328</v>
      </c>
      <c r="B16" s="32" t="s">
        <v>331</v>
      </c>
      <c r="C16" s="8" t="s">
        <v>104</v>
      </c>
      <c r="D16" s="8" t="str">
        <f t="shared" si="1"/>
        <v>O</v>
      </c>
      <c r="E16" s="8">
        <f>IF(C16="Slabá stránka",COUNTIF(C$3:C16,"Slabá stránka"),IF(C16="Silná stránka",COUNTIF(C$3:C16,"Silná stránka"),IF(C16="Příležitost",COUNTIF(C$3:C16,"Příležitost"),COUNTIF(C$3:C16,"Hrozba"))))</f>
        <v>2</v>
      </c>
      <c r="F16" s="8" t="str">
        <f t="shared" si="0"/>
        <v>O2</v>
      </c>
    </row>
    <row r="17" spans="1:6" ht="43.2" x14ac:dyDescent="0.3">
      <c r="A17" s="32" t="s">
        <v>297</v>
      </c>
      <c r="B17" s="32" t="s">
        <v>332</v>
      </c>
      <c r="C17" s="8" t="s">
        <v>103</v>
      </c>
      <c r="D17" s="8" t="str">
        <f t="shared" si="1"/>
        <v>W</v>
      </c>
      <c r="E17" s="8">
        <f>IF(C17="Slabá stránka",COUNTIF(C$3:C17,"Slabá stránka"),IF(C17="Silná stránka",COUNTIF(C$3:C17,"Silná stránka"),IF(C17="Příležitost",COUNTIF(C$3:C17,"Příležitost"),COUNTIF(C$3:C17,"Hrozba"))))</f>
        <v>1</v>
      </c>
      <c r="F17" s="8" t="str">
        <f t="shared" si="0"/>
        <v>W1</v>
      </c>
    </row>
    <row r="18" spans="1:6" ht="43.2" x14ac:dyDescent="0.3">
      <c r="A18" s="32" t="s">
        <v>329</v>
      </c>
      <c r="B18" s="32" t="s">
        <v>333</v>
      </c>
      <c r="C18" s="8" t="s">
        <v>102</v>
      </c>
      <c r="D18" s="8" t="str">
        <f t="shared" si="1"/>
        <v>S</v>
      </c>
      <c r="E18" s="8">
        <f>IF(C18="Slabá stránka",COUNTIF(C$3:C18,"Slabá stránka"),IF(C18="Silná stránka",COUNTIF(C$3:C18,"Silná stránka"),IF(C18="Příležitost",COUNTIF(C$3:C18,"Příležitost"),COUNTIF(C$3:C18,"Hrozba"))))</f>
        <v>7</v>
      </c>
      <c r="F18" s="8" t="str">
        <f t="shared" si="0"/>
        <v>S7</v>
      </c>
    </row>
    <row r="19" spans="1:6" ht="43.2" x14ac:dyDescent="0.3">
      <c r="A19" s="32" t="s">
        <v>330</v>
      </c>
      <c r="B19" s="32" t="s">
        <v>334</v>
      </c>
      <c r="C19" s="8" t="s">
        <v>102</v>
      </c>
      <c r="D19" s="8" t="str">
        <f t="shared" si="1"/>
        <v>S</v>
      </c>
      <c r="E19" s="8">
        <f>IF(C19="Slabá stránka",COUNTIF(C$3:C19,"Slabá stránka"),IF(C19="Silná stránka",COUNTIF(C$3:C19,"Silná stránka"),IF(C19="Příležitost",COUNTIF(C$3:C19,"Příležitost"),COUNTIF(C$3:C19,"Hrozba"))))</f>
        <v>8</v>
      </c>
      <c r="F19" s="8" t="str">
        <f t="shared" si="0"/>
        <v>S8</v>
      </c>
    </row>
    <row r="20" spans="1:6" ht="43.2" x14ac:dyDescent="0.3">
      <c r="A20" s="32" t="s">
        <v>301</v>
      </c>
      <c r="B20" s="32" t="s">
        <v>298</v>
      </c>
      <c r="C20" s="8" t="s">
        <v>103</v>
      </c>
      <c r="D20" s="8" t="str">
        <f t="shared" si="1"/>
        <v>W</v>
      </c>
      <c r="E20" s="8">
        <f>IF(C20="Slabá stránka",COUNTIF(C$3:C20,"Slabá stránka"),IF(C20="Silná stránka",COUNTIF(C$3:C20,"Silná stránka"),IF(C20="Příležitost",COUNTIF(C$3:C20,"Příležitost"),COUNTIF(C$3:C20,"Hrozba"))))</f>
        <v>2</v>
      </c>
      <c r="F20" s="8" t="str">
        <f t="shared" si="0"/>
        <v>W2</v>
      </c>
    </row>
    <row r="21" spans="1:6" ht="43.2" x14ac:dyDescent="0.3">
      <c r="A21" s="32" t="s">
        <v>299</v>
      </c>
      <c r="B21" s="32" t="s">
        <v>335</v>
      </c>
      <c r="C21" s="8" t="s">
        <v>102</v>
      </c>
      <c r="D21" s="8" t="str">
        <f t="shared" si="1"/>
        <v>S</v>
      </c>
      <c r="E21" s="8">
        <f>IF(C21="Slabá stránka",COUNTIF(C$3:C21,"Slabá stránka"),IF(C21="Silná stránka",COUNTIF(C$3:C21,"Silná stránka"),IF(C21="Příležitost",COUNTIF(C$3:C21,"Příležitost"),COUNTIF(C$3:C21,"Hrozba"))))</f>
        <v>9</v>
      </c>
      <c r="F21" s="8" t="str">
        <f t="shared" si="0"/>
        <v>S9</v>
      </c>
    </row>
    <row r="22" spans="1:6" ht="43.2" x14ac:dyDescent="0.3">
      <c r="A22" s="32" t="s">
        <v>336</v>
      </c>
      <c r="B22" s="32" t="s">
        <v>315</v>
      </c>
      <c r="C22" s="8" t="s">
        <v>102</v>
      </c>
      <c r="D22" s="8" t="str">
        <f t="shared" si="1"/>
        <v>S</v>
      </c>
      <c r="E22" s="8">
        <f>IF(C22="Slabá stránka",COUNTIF(C$3:C22,"Slabá stránka"),IF(C22="Silná stránka",COUNTIF(C$3:C22,"Silná stránka"),IF(C22="Příležitost",COUNTIF(C$3:C22,"Příležitost"),COUNTIF(C$3:C22,"Hrozba"))))</f>
        <v>10</v>
      </c>
      <c r="F22" s="8" t="str">
        <f t="shared" si="0"/>
        <v>S10</v>
      </c>
    </row>
    <row r="23" spans="1:6" ht="43.2" x14ac:dyDescent="0.3">
      <c r="A23" s="32" t="s">
        <v>313</v>
      </c>
      <c r="B23" s="32" t="s">
        <v>303</v>
      </c>
      <c r="C23" s="8" t="s">
        <v>103</v>
      </c>
      <c r="D23" s="8" t="str">
        <f t="shared" si="1"/>
        <v>W</v>
      </c>
      <c r="E23" s="8">
        <f>IF(C23="Slabá stránka",COUNTIF(C$3:C23,"Slabá stránka"),IF(C23="Silná stránka",COUNTIF(C$3:C23,"Silná stránka"),IF(C23="Příležitost",COUNTIF(C$3:C23,"Příležitost"),COUNTIF(C$3:C23,"Hrozba"))))</f>
        <v>3</v>
      </c>
      <c r="F23" s="8" t="str">
        <f t="shared" si="0"/>
        <v>W3</v>
      </c>
    </row>
    <row r="24" spans="1:6" ht="43.2" x14ac:dyDescent="0.3">
      <c r="A24" s="32" t="s">
        <v>314</v>
      </c>
      <c r="B24" s="32" t="s">
        <v>339</v>
      </c>
      <c r="C24" s="8" t="s">
        <v>103</v>
      </c>
      <c r="D24" s="8" t="str">
        <f t="shared" si="1"/>
        <v>W</v>
      </c>
      <c r="E24" s="8">
        <f>IF(C24="Slabá stránka",COUNTIF(C$3:C24,"Slabá stránka"),IF(C24="Silná stránka",COUNTIF(C$3:C24,"Silná stránka"),IF(C24="Příležitost",COUNTIF(C$3:C24,"Příležitost"),COUNTIF(C$3:C24,"Hrozba"))))</f>
        <v>4</v>
      </c>
      <c r="F24" s="8" t="str">
        <f t="shared" si="0"/>
        <v>W4</v>
      </c>
    </row>
    <row r="25" spans="1:6" ht="43.2" x14ac:dyDescent="0.3">
      <c r="A25" s="32" t="s">
        <v>344</v>
      </c>
      <c r="B25" s="32" t="s">
        <v>304</v>
      </c>
      <c r="C25" s="8" t="s">
        <v>104</v>
      </c>
      <c r="D25" s="8" t="str">
        <f t="shared" si="1"/>
        <v>O</v>
      </c>
      <c r="E25" s="8">
        <f>IF(C25="Slabá stránka",COUNTIF(C$3:C25,"Slabá stránka"),IF(C25="Silná stránka",COUNTIF(C$3:C25,"Silná stránka"),IF(C25="Příležitost",COUNTIF(C$3:C25,"Příležitost"),COUNTIF(C$3:C25,"Hrozba"))))</f>
        <v>3</v>
      </c>
      <c r="F25" s="8" t="str">
        <f t="shared" si="0"/>
        <v>O3</v>
      </c>
    </row>
    <row r="26" spans="1:6" ht="57.6" x14ac:dyDescent="0.3">
      <c r="A26" s="32" t="s">
        <v>337</v>
      </c>
      <c r="B26" s="32" t="s">
        <v>340</v>
      </c>
      <c r="C26" s="8" t="s">
        <v>105</v>
      </c>
      <c r="D26" s="8" t="str">
        <f t="shared" si="1"/>
        <v>T</v>
      </c>
      <c r="E26" s="8">
        <f>IF(C26="Slabá stránka",COUNTIF(C$3:C26,"Slabá stránka"),IF(C26="Silná stránka",COUNTIF(C$3:C26,"Silná stránka"),IF(C26="Příležitost",COUNTIF(C$3:C26,"Příležitost"),COUNTIF(C$3:C26,"Hrozba"))))</f>
        <v>7</v>
      </c>
      <c r="F26" s="8" t="str">
        <f t="shared" si="0"/>
        <v>T7</v>
      </c>
    </row>
    <row r="27" spans="1:6" ht="28.8" x14ac:dyDescent="0.3">
      <c r="A27" s="32" t="s">
        <v>338</v>
      </c>
      <c r="B27" s="32" t="s">
        <v>305</v>
      </c>
      <c r="C27" s="8" t="s">
        <v>105</v>
      </c>
      <c r="D27" s="8" t="str">
        <f t="shared" si="1"/>
        <v>T</v>
      </c>
      <c r="E27" s="8">
        <f>IF(C27="Slabá stránka",COUNTIF(C$3:C27,"Slabá stránka"),IF(C27="Silná stránka",COUNTIF(C$3:C27,"Silná stránka"),IF(C27="Příležitost",COUNTIF(C$3:C27,"Příležitost"),COUNTIF(C$3:C27,"Hrozba"))))</f>
        <v>8</v>
      </c>
      <c r="F27" s="8" t="str">
        <f t="shared" si="0"/>
        <v>T8</v>
      </c>
    </row>
    <row r="28" spans="1:6" ht="43.2" x14ac:dyDescent="0.3">
      <c r="A28" s="32" t="s">
        <v>346</v>
      </c>
      <c r="B28" s="32" t="s">
        <v>341</v>
      </c>
      <c r="C28" s="8" t="s">
        <v>104</v>
      </c>
      <c r="D28" s="8" t="str">
        <f t="shared" si="1"/>
        <v>O</v>
      </c>
      <c r="E28" s="8">
        <f>IF(C28="Slabá stránka",COUNTIF(C$3:C28,"Slabá stránka"),IF(C28="Silná stránka",COUNTIF(C$3:C28,"Silná stránka"),IF(C28="Příležitost",COUNTIF(C$3:C28,"Příležitost"),COUNTIF(C$3:C28,"Hrozba"))))</f>
        <v>4</v>
      </c>
      <c r="F28" s="8" t="str">
        <f t="shared" si="0"/>
        <v>O4</v>
      </c>
    </row>
    <row r="29" spans="1:6" x14ac:dyDescent="0.3">
      <c r="A29" s="32"/>
      <c r="B29" s="32"/>
      <c r="D29" s="8" t="str">
        <f t="shared" si="1"/>
        <v>T</v>
      </c>
      <c r="E29" s="8">
        <f>IF(C29="Slabá stránka",COUNTIF(C$3:C29,"Slabá stránka"),IF(C29="Silná stránka",COUNTIF(C$3:C29,"Silná stránka"),IF(C29="Příležitost",COUNTIF(C$3:C29,"Příležitost"),COUNTIF(C$3:C29,"Hrozba"))))</f>
        <v>8</v>
      </c>
      <c r="F29" s="8" t="str">
        <f t="shared" si="0"/>
        <v>T8</v>
      </c>
    </row>
    <row r="30" spans="1:6" x14ac:dyDescent="0.3">
      <c r="A30" s="32"/>
      <c r="B30" s="32"/>
      <c r="D30" s="8" t="str">
        <f t="shared" si="1"/>
        <v>T</v>
      </c>
      <c r="E30" s="8">
        <f>IF(C30="Slabá stránka",COUNTIF(C$3:C30,"Slabá stránka"),IF(C30="Silná stránka",COUNTIF(C$3:C30,"Silná stránka"),IF(C30="Příležitost",COUNTIF(C$3:C30,"Příležitost"),COUNTIF(C$3:C30,"Hrozba"))))</f>
        <v>8</v>
      </c>
      <c r="F30" s="8" t="str">
        <f t="shared" si="0"/>
        <v>T8</v>
      </c>
    </row>
    <row r="31" spans="1:6" x14ac:dyDescent="0.3">
      <c r="A31" s="32"/>
      <c r="B31" s="32"/>
      <c r="D31" s="8" t="str">
        <f t="shared" si="1"/>
        <v>T</v>
      </c>
      <c r="E31" s="8">
        <f>IF(C31="Slabá stránka",COUNTIF(C$3:C31,"Slabá stránka"),IF(C31="Silná stránka",COUNTIF(C$3:C31,"Silná stránka"),IF(C31="Příležitost",COUNTIF(C$3:C31,"Příležitost"),COUNTIF(C$3:C31,"Hrozba"))))</f>
        <v>8</v>
      </c>
      <c r="F31" s="8" t="str">
        <f t="shared" si="0"/>
        <v>T8</v>
      </c>
    </row>
    <row r="32" spans="1:6" x14ac:dyDescent="0.3">
      <c r="A32" s="32"/>
      <c r="B32" s="32"/>
      <c r="D32" s="8" t="str">
        <f t="shared" si="1"/>
        <v>T</v>
      </c>
      <c r="E32" s="8">
        <f>IF(C32="Slabá stránka",COUNTIF(C$3:C32,"Slabá stránka"),IF(C32="Silná stránka",COUNTIF(C$3:C32,"Silná stránka"),IF(C32="Příležitost",COUNTIF(C$3:C32,"Příležitost"),COUNTIF(C$3:C32,"Hrozba"))))</f>
        <v>8</v>
      </c>
      <c r="F32" s="8" t="str">
        <f t="shared" si="0"/>
        <v>T8</v>
      </c>
    </row>
    <row r="33" spans="1:6" x14ac:dyDescent="0.3">
      <c r="A33" s="32"/>
      <c r="B33" s="32"/>
      <c r="D33" s="8" t="str">
        <f t="shared" si="1"/>
        <v>T</v>
      </c>
      <c r="E33" s="8">
        <f>IF(C33="Slabá stránka",COUNTIF(C$3:C33,"Slabá stránka"),IF(C33="Silná stránka",COUNTIF(C$3:C33,"Silná stránka"),IF(C33="Příležitost",COUNTIF(C$3:C33,"Příležitost"),COUNTIF(C$3:C33,"Hrozba"))))</f>
        <v>8</v>
      </c>
      <c r="F33" s="8" t="str">
        <f t="shared" si="0"/>
        <v>T8</v>
      </c>
    </row>
    <row r="34" spans="1:6" x14ac:dyDescent="0.3">
      <c r="A34" s="32"/>
      <c r="B34" s="32"/>
      <c r="D34" s="8" t="str">
        <f t="shared" si="1"/>
        <v>T</v>
      </c>
      <c r="E34" s="8">
        <f>IF(C34="Slabá stránka",COUNTIF(C$3:C34,"Slabá stránka"),IF(C34="Silná stránka",COUNTIF(C$3:C34,"Silná stránka"),IF(C34="Příležitost",COUNTIF(C$3:C34,"Příležitost"),COUNTIF(C$3:C34,"Hrozba"))))</f>
        <v>8</v>
      </c>
      <c r="F34" s="8" t="str">
        <f t="shared" si="0"/>
        <v>T8</v>
      </c>
    </row>
    <row r="35" spans="1:6" x14ac:dyDescent="0.3">
      <c r="A35" s="32"/>
      <c r="B35" s="32"/>
      <c r="D35" s="8" t="str">
        <f t="shared" si="1"/>
        <v>T</v>
      </c>
      <c r="E35" s="8">
        <f>IF(C35="Slabá stránka",COUNTIF(C$3:C35,"Slabá stránka"),IF(C35="Silná stránka",COUNTIF(C$3:C35,"Silná stránka"),IF(C35="Příležitost",COUNTIF(C$3:C35,"Příležitost"),COUNTIF(C$3:C35,"Hrozba"))))</f>
        <v>8</v>
      </c>
      <c r="F35" s="8" t="str">
        <f t="shared" si="0"/>
        <v>T8</v>
      </c>
    </row>
    <row r="36" spans="1:6" x14ac:dyDescent="0.3">
      <c r="A36" s="32"/>
      <c r="B36" s="32"/>
      <c r="D36" s="8" t="str">
        <f t="shared" si="1"/>
        <v>T</v>
      </c>
      <c r="E36" s="8">
        <f>IF(C36="Slabá stránka",COUNTIF(C$3:C36,"Slabá stránka"),IF(C36="Silná stránka",COUNTIF(C$3:C36,"Silná stránka"),IF(C36="Příležitost",COUNTIF(C$3:C36,"Příležitost"),COUNTIF(C$3:C36,"Hrozba"))))</f>
        <v>8</v>
      </c>
      <c r="F36" s="8" t="str">
        <f t="shared" si="0"/>
        <v>T8</v>
      </c>
    </row>
    <row r="37" spans="1:6" x14ac:dyDescent="0.3">
      <c r="A37" s="32"/>
      <c r="B37" s="32"/>
      <c r="D37" s="8" t="str">
        <f t="shared" si="1"/>
        <v>T</v>
      </c>
      <c r="E37" s="8">
        <f>IF(C37="Slabá stránka",COUNTIF(C$3:C37,"Slabá stránka"),IF(C37="Silná stránka",COUNTIF(C$3:C37,"Silná stránka"),IF(C37="Příležitost",COUNTIF(C$3:C37,"Příležitost"),COUNTIF(C$3:C37,"Hrozba"))))</f>
        <v>8</v>
      </c>
      <c r="F37" s="8" t="str">
        <f t="shared" si="0"/>
        <v>T8</v>
      </c>
    </row>
    <row r="38" spans="1:6" x14ac:dyDescent="0.3">
      <c r="A38" s="32"/>
      <c r="B38" s="32"/>
      <c r="D38" s="8" t="str">
        <f t="shared" si="1"/>
        <v>T</v>
      </c>
      <c r="E38" s="8">
        <f>IF(C38="Slabá stránka",COUNTIF(C$3:C38,"Slabá stránka"),IF(C38="Silná stránka",COUNTIF(C$3:C38,"Silná stránka"),IF(C38="Příležitost",COUNTIF(C$3:C38,"Příležitost"),COUNTIF(C$3:C38,"Hrozba"))))</f>
        <v>8</v>
      </c>
      <c r="F38" s="8" t="str">
        <f t="shared" si="0"/>
        <v>T8</v>
      </c>
    </row>
    <row r="39" spans="1:6" x14ac:dyDescent="0.3">
      <c r="A39" s="32"/>
      <c r="B39" s="32"/>
      <c r="D39" s="8" t="str">
        <f t="shared" si="1"/>
        <v>T</v>
      </c>
      <c r="E39" s="8">
        <f>IF(C39="Slabá stránka",COUNTIF(C$3:C39,"Slabá stránka"),IF(C39="Silná stránka",COUNTIF(C$3:C39,"Silná stránka"),IF(C39="Příležitost",COUNTIF(C$3:C39,"Příležitost"),COUNTIF(C$3:C39,"Hrozba"))))</f>
        <v>8</v>
      </c>
      <c r="F39" s="8" t="str">
        <f t="shared" si="0"/>
        <v>T8</v>
      </c>
    </row>
    <row r="40" spans="1:6" x14ac:dyDescent="0.3">
      <c r="A40" s="32"/>
      <c r="B40" s="32"/>
      <c r="D40" s="8" t="str">
        <f t="shared" si="1"/>
        <v>T</v>
      </c>
      <c r="E40" s="8">
        <f>IF(C40="Slabá stránka",COUNTIF(C$3:C40,"Slabá stránka"),IF(C40="Silná stránka",COUNTIF(C$3:C40,"Silná stránka"),IF(C40="Příležitost",COUNTIF(C$3:C40,"Příležitost"),COUNTIF(C$3:C40,"Hrozba"))))</f>
        <v>8</v>
      </c>
      <c r="F40" s="8" t="str">
        <f t="shared" si="0"/>
        <v>T8</v>
      </c>
    </row>
  </sheetData>
  <sheetProtection algorithmName="SHA-512" hashValue="Va3DQAN5Qk5LqpOz5GXtePVlQb3GTZQ1xd8wa9Ye9NejOfQ25vq4ObCkP/EWQI93s+oNFc9YrLLBTW3U3+grEg==" saltValue="HLWkYTn+csg6kFrdRR/9OA==" spinCount="100000" sheet="1" objects="1" scenarios="1"/>
  <protectedRanges>
    <protectedRange sqref="A3:C40" name="Faktory"/>
  </protectedRanges>
  <mergeCells count="1">
    <mergeCell ref="A1:B1"/>
  </mergeCells>
  <dataValidations count="1">
    <dataValidation type="list" allowBlank="1" showInputMessage="1" showErrorMessage="1" sqref="C3:C40" xr:uid="{BAB6460F-82C0-4090-9599-94A65D4B5D0E}">
      <formula1>$M$2:$M$5</formula1>
    </dataValidation>
  </dataValidations>
  <pageMargins left="0.7" right="0.7" top="0.78740157499999996" bottom="0.78740157499999996" header="0.3" footer="0.3"/>
  <pageSetup paperSize="9" scale="84" orientation="portrait" r:id="rId1"/>
  <colBreaks count="1" manualBreakCount="1">
    <brk id="2" max="39"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DFBD8-A8BA-4F12-8677-C313FCA508EA}">
  <sheetPr>
    <tabColor theme="2" tint="-0.249977111117893"/>
  </sheetPr>
  <dimension ref="A2:Q24"/>
  <sheetViews>
    <sheetView view="pageBreakPreview" topLeftCell="D3" zoomScale="110" zoomScaleNormal="120" zoomScaleSheetLayoutView="110" workbookViewId="0">
      <selection activeCell="I19" sqref="I19"/>
    </sheetView>
  </sheetViews>
  <sheetFormatPr defaultColWidth="9.109375" defaultRowHeight="14.4" x14ac:dyDescent="0.3"/>
  <cols>
    <col min="1" max="1" width="9.109375" style="8"/>
    <col min="2" max="2" width="45.109375" style="8" customWidth="1"/>
    <col min="3" max="3" width="9.33203125" style="8" customWidth="1"/>
    <col min="4" max="4" width="7.6640625" style="8" customWidth="1"/>
    <col min="5" max="5" width="7.33203125" style="8" customWidth="1"/>
    <col min="6" max="6" width="9.109375" style="8"/>
    <col min="7" max="7" width="49.109375" style="8" customWidth="1"/>
    <col min="8" max="8" width="11.21875" style="8" customWidth="1"/>
    <col min="9" max="9" width="6.88671875" style="8" customWidth="1"/>
    <col min="10" max="10" width="9.109375" style="8"/>
    <col min="11" max="11" width="2.21875" style="8" customWidth="1"/>
    <col min="12" max="12" width="6.77734375" style="8" customWidth="1"/>
    <col min="13" max="13" width="5.109375" style="8" customWidth="1"/>
    <col min="14" max="14" width="13.77734375" style="8" customWidth="1"/>
    <col min="15" max="15" width="3.109375" style="8" customWidth="1"/>
    <col min="16" max="16" width="11.44140625" style="8" customWidth="1"/>
    <col min="17" max="16384" width="9.109375" style="8"/>
  </cols>
  <sheetData>
    <row r="2" spans="1:17" ht="15" thickBot="1" x14ac:dyDescent="0.35"/>
    <row r="3" spans="1:17" ht="51" customHeight="1" thickBot="1" x14ac:dyDescent="0.35">
      <c r="A3" s="169" t="s">
        <v>0</v>
      </c>
      <c r="B3" s="170"/>
      <c r="C3" s="14" t="s">
        <v>1</v>
      </c>
      <c r="D3" s="15" t="s">
        <v>2</v>
      </c>
      <c r="E3" s="2" t="s">
        <v>3</v>
      </c>
      <c r="F3" s="169" t="s">
        <v>4</v>
      </c>
      <c r="G3" s="170"/>
      <c r="H3" s="14" t="s">
        <v>1</v>
      </c>
      <c r="I3" s="12" t="s">
        <v>2</v>
      </c>
      <c r="J3" s="12" t="s">
        <v>3</v>
      </c>
      <c r="L3" s="16" t="s">
        <v>5</v>
      </c>
      <c r="M3" s="17">
        <f>SUM(C4:C13)+SUM(H4:H13)</f>
        <v>1</v>
      </c>
      <c r="N3" s="16" t="s">
        <v>6</v>
      </c>
      <c r="O3" s="18">
        <f>SUM(E4:E13) + SUM(J4:J13)</f>
        <v>3.17</v>
      </c>
      <c r="P3" s="16" t="s">
        <v>100</v>
      </c>
      <c r="Q3" s="17" t="str">
        <f>IF(O3&gt;=2.5,"S","W")</f>
        <v>S</v>
      </c>
    </row>
    <row r="4" spans="1:17" x14ac:dyDescent="0.3">
      <c r="A4" s="19" t="s">
        <v>13</v>
      </c>
      <c r="B4" s="19" t="str">
        <f>VLOOKUP(A4,List2!B$1:C$38,2,FALSE)</f>
        <v>Prospěch ze zdravotního povědomí</v>
      </c>
      <c r="C4" s="84">
        <v>0.04</v>
      </c>
      <c r="D4" s="23">
        <v>3</v>
      </c>
      <c r="E4" s="1">
        <f>C4*D4</f>
        <v>0.12</v>
      </c>
      <c r="F4" s="8" t="s">
        <v>21</v>
      </c>
      <c r="G4" s="19" t="str">
        <f>VLOOKUP(F4,List2!B$1:C$38,2,FALSE)</f>
        <v>Konkurence cenou</v>
      </c>
      <c r="H4" s="19">
        <v>0.1</v>
      </c>
      <c r="I4" s="25">
        <v>2</v>
      </c>
      <c r="J4" s="11">
        <f>H4*I4</f>
        <v>0.2</v>
      </c>
      <c r="N4" s="20"/>
      <c r="O4" s="18"/>
    </row>
    <row r="5" spans="1:17" x14ac:dyDescent="0.3">
      <c r="A5" s="19" t="s">
        <v>14</v>
      </c>
      <c r="B5" s="19" t="str">
        <f>VLOOKUP(A5,List2!B$1:C$38,2,FALSE)</f>
        <v>Ekologicy založená firma</v>
      </c>
      <c r="C5" s="19">
        <v>0.05</v>
      </c>
      <c r="D5" s="23">
        <v>4</v>
      </c>
      <c r="E5" s="1">
        <f t="shared" ref="E5:E13" si="0">C5*D5</f>
        <v>0.2</v>
      </c>
      <c r="F5" s="8" t="s">
        <v>22</v>
      </c>
      <c r="G5" s="19" t="str">
        <f>VLOOKUP(F5,List2!B$1:C$38,2,FALSE)</f>
        <v>Omezené kamenné prodejny</v>
      </c>
      <c r="H5" s="19">
        <v>0.11</v>
      </c>
      <c r="I5" s="25">
        <v>2</v>
      </c>
      <c r="J5" s="11">
        <f t="shared" ref="J5:J13" si="1">H5*I5</f>
        <v>0.22</v>
      </c>
    </row>
    <row r="6" spans="1:17" x14ac:dyDescent="0.3">
      <c r="A6" s="19" t="s">
        <v>15</v>
      </c>
      <c r="B6" s="19" t="str">
        <f>VLOOKUP(A6,List2!B$1:C$38,2,FALSE)</f>
        <v>Schopnost rychlé reakce na legislativu</v>
      </c>
      <c r="C6" s="19">
        <v>0.03</v>
      </c>
      <c r="D6" s="23">
        <v>3</v>
      </c>
      <c r="E6" s="1">
        <f t="shared" si="0"/>
        <v>0.09</v>
      </c>
      <c r="F6" s="8" t="s">
        <v>23</v>
      </c>
      <c r="G6" s="19" t="str">
        <f>VLOOKUP(F6,List2!B$1:C$38,2,FALSE)</f>
        <v>Chybí mezinárodní certifikace</v>
      </c>
      <c r="H6" s="19">
        <v>0.03</v>
      </c>
      <c r="I6" s="25">
        <v>1</v>
      </c>
      <c r="J6" s="11">
        <f t="shared" si="1"/>
        <v>0.03</v>
      </c>
    </row>
    <row r="7" spans="1:17" x14ac:dyDescent="0.3">
      <c r="A7" s="19" t="s">
        <v>16</v>
      </c>
      <c r="B7" s="19" t="str">
        <f>VLOOKUP(A7,List2!B$1:C$38,2,FALSE)</f>
        <v>Jednotným marketingovým přístupem lze přílákat nové zákaznky.</v>
      </c>
      <c r="C7" s="19">
        <v>0.03</v>
      </c>
      <c r="D7" s="23">
        <v>3</v>
      </c>
      <c r="E7" s="1">
        <f t="shared" si="0"/>
        <v>0.09</v>
      </c>
      <c r="F7" s="8" t="s">
        <v>24</v>
      </c>
      <c r="G7" s="19" t="str">
        <f>VLOOKUP(F7,List2!B$1:C$38,2,FALSE)</f>
        <v>Řízení partnerství</v>
      </c>
      <c r="H7" s="19">
        <v>0.11</v>
      </c>
      <c r="I7" s="25">
        <v>2</v>
      </c>
      <c r="J7" s="11">
        <f t="shared" si="1"/>
        <v>0.22</v>
      </c>
      <c r="L7" s="21"/>
      <c r="M7" s="17"/>
    </row>
    <row r="8" spans="1:17" x14ac:dyDescent="0.3">
      <c r="A8" s="19" t="s">
        <v>17</v>
      </c>
      <c r="B8" s="19" t="str">
        <f>VLOOKUP(A8,List2!B$1:C$38,2,FALSE)</f>
        <v>Ryzí a kvalitnější produkty</v>
      </c>
      <c r="C8" s="19">
        <v>0.08</v>
      </c>
      <c r="D8" s="23">
        <v>4</v>
      </c>
      <c r="E8" s="1">
        <f t="shared" si="0"/>
        <v>0.32</v>
      </c>
      <c r="F8" s="8" t="s">
        <v>25</v>
      </c>
      <c r="G8" s="19" t="e">
        <f>VLOOKUP(F8,List2!B$1:C$38,2,FALSE)</f>
        <v>#N/A</v>
      </c>
      <c r="H8" s="19"/>
      <c r="I8" s="25"/>
      <c r="J8" s="11">
        <f t="shared" si="1"/>
        <v>0</v>
      </c>
      <c r="M8" s="17"/>
    </row>
    <row r="9" spans="1:17" x14ac:dyDescent="0.3">
      <c r="A9" s="19" t="s">
        <v>18</v>
      </c>
      <c r="B9" s="19" t="str">
        <f>VLOOKUP(A9,List2!B$1:C$38,2,FALSE)</f>
        <v>Schopnost řízení dodávek</v>
      </c>
      <c r="C9" s="19">
        <v>0.08</v>
      </c>
      <c r="D9" s="23">
        <v>4</v>
      </c>
      <c r="E9" s="1">
        <f t="shared" si="0"/>
        <v>0.32</v>
      </c>
      <c r="F9" s="8" t="s">
        <v>26</v>
      </c>
      <c r="G9" s="19" t="e">
        <f>VLOOKUP(F9,List2!B$1:C$38,2,FALSE)</f>
        <v>#N/A</v>
      </c>
      <c r="H9" s="19"/>
      <c r="I9" s="25"/>
      <c r="J9" s="11">
        <f t="shared" si="1"/>
        <v>0</v>
      </c>
      <c r="M9" s="17"/>
    </row>
    <row r="10" spans="1:17" x14ac:dyDescent="0.3">
      <c r="A10" s="19" t="s">
        <v>19</v>
      </c>
      <c r="B10" s="19" t="str">
        <f>VLOOKUP(A10,List2!B$1:C$38,2,FALSE)</f>
        <v xml:space="preserve">Jedinečný systém školení </v>
      </c>
      <c r="C10" s="19">
        <v>0.08</v>
      </c>
      <c r="D10" s="23">
        <v>4</v>
      </c>
      <c r="E10" s="1">
        <f t="shared" si="0"/>
        <v>0.32</v>
      </c>
      <c r="F10" s="8" t="s">
        <v>27</v>
      </c>
      <c r="G10" s="19" t="e">
        <f>VLOOKUP(F10,List2!B$1:C$38,2,FALSE)</f>
        <v>#N/A</v>
      </c>
      <c r="H10" s="19"/>
      <c r="I10" s="25"/>
      <c r="J10" s="11">
        <f t="shared" si="1"/>
        <v>0</v>
      </c>
      <c r="M10" s="17"/>
    </row>
    <row r="11" spans="1:17" x14ac:dyDescent="0.3">
      <c r="A11" s="19" t="s">
        <v>20</v>
      </c>
      <c r="B11" s="19" t="str">
        <f>VLOOKUP(A11,List2!B$1:C$38,2,FALSE)</f>
        <v>Vysoká kvalita zaměstnamců</v>
      </c>
      <c r="C11" s="19">
        <v>0.08</v>
      </c>
      <c r="D11" s="23">
        <v>4</v>
      </c>
      <c r="E11" s="1">
        <f t="shared" si="0"/>
        <v>0.32</v>
      </c>
      <c r="F11" s="8" t="s">
        <v>28</v>
      </c>
      <c r="G11" s="19" t="e">
        <f>VLOOKUP(F11,List2!B$1:C$38,2,FALSE)</f>
        <v>#N/A</v>
      </c>
      <c r="H11" s="19"/>
      <c r="I11" s="25"/>
      <c r="J11" s="11">
        <f t="shared" si="1"/>
        <v>0</v>
      </c>
      <c r="M11" s="17"/>
    </row>
    <row r="12" spans="1:17" x14ac:dyDescent="0.3">
      <c r="A12" s="19" t="s">
        <v>96</v>
      </c>
      <c r="B12" s="19" t="str">
        <f>VLOOKUP(A12,List2!B$1:C$38,2,FALSE)</f>
        <v>Dobře fungující e-shop</v>
      </c>
      <c r="C12" s="19">
        <v>0.1</v>
      </c>
      <c r="D12" s="23">
        <v>4</v>
      </c>
      <c r="E12" s="1">
        <f t="shared" si="0"/>
        <v>0.4</v>
      </c>
      <c r="F12" s="8" t="s">
        <v>29</v>
      </c>
      <c r="G12" s="19" t="e">
        <f>VLOOKUP(F12,List2!B$1:C$38,2,FALSE)</f>
        <v>#N/A</v>
      </c>
      <c r="H12" s="19"/>
      <c r="I12" s="25"/>
      <c r="J12" s="11">
        <f t="shared" si="1"/>
        <v>0</v>
      </c>
      <c r="M12" s="17"/>
    </row>
    <row r="13" spans="1:17" ht="15" thickBot="1" x14ac:dyDescent="0.35">
      <c r="A13" s="19" t="s">
        <v>97</v>
      </c>
      <c r="B13" s="19" t="str">
        <f>VLOOKUP(A13,List2!B$1:C$38,2,FALSE)</f>
        <v>Důraz na kvalitní tuzemské bio certifikace</v>
      </c>
      <c r="C13" s="19">
        <v>0.08</v>
      </c>
      <c r="D13" s="23">
        <v>4</v>
      </c>
      <c r="E13" s="1">
        <f t="shared" si="0"/>
        <v>0.32</v>
      </c>
      <c r="F13" s="8" t="s">
        <v>98</v>
      </c>
      <c r="G13" s="19" t="e">
        <f>VLOOKUP(F13,List2!B$1:C$38,2,FALSE)</f>
        <v>#N/A</v>
      </c>
      <c r="H13" s="19"/>
      <c r="I13" s="25"/>
      <c r="J13" s="11">
        <f t="shared" si="1"/>
        <v>0</v>
      </c>
      <c r="M13" s="17"/>
    </row>
    <row r="14" spans="1:17" ht="48.75" customHeight="1" thickBot="1" x14ac:dyDescent="0.35">
      <c r="A14" s="169" t="s">
        <v>7</v>
      </c>
      <c r="B14" s="170"/>
      <c r="C14" s="14" t="s">
        <v>1</v>
      </c>
      <c r="D14" s="15" t="s">
        <v>2</v>
      </c>
      <c r="E14" s="2" t="s">
        <v>3</v>
      </c>
      <c r="F14" s="169" t="s">
        <v>8</v>
      </c>
      <c r="G14" s="170"/>
      <c r="H14" s="14" t="s">
        <v>1</v>
      </c>
      <c r="I14" s="12" t="s">
        <v>2</v>
      </c>
      <c r="J14" s="12" t="s">
        <v>3</v>
      </c>
      <c r="L14" s="16" t="s">
        <v>9</v>
      </c>
      <c r="M14" s="17">
        <f>SUM(C15:C26)+SUM(H15:H26)</f>
        <v>1</v>
      </c>
      <c r="N14" s="16" t="s">
        <v>10</v>
      </c>
      <c r="O14" s="18">
        <f>SUM(E15:E24) + SUM(J15:J24)</f>
        <v>2.1900000000000004</v>
      </c>
      <c r="P14" s="16" t="s">
        <v>100</v>
      </c>
      <c r="Q14" s="17" t="str">
        <f>IF(O14&gt;=2.5,"O","T")</f>
        <v>T</v>
      </c>
    </row>
    <row r="15" spans="1:17" x14ac:dyDescent="0.3">
      <c r="A15" s="19" t="s">
        <v>30</v>
      </c>
      <c r="B15" s="19" t="str">
        <f>VLOOKUP(A15,List2!B$1:C$38,2,FALSE)</f>
        <v>Nové velké vstupující nedokážou vstoupit rychle</v>
      </c>
      <c r="C15" s="19">
        <v>0.04</v>
      </c>
      <c r="D15" s="23">
        <v>3</v>
      </c>
      <c r="E15" s="1">
        <f>C15*D15</f>
        <v>0.12</v>
      </c>
      <c r="F15" s="8" t="s">
        <v>38</v>
      </c>
      <c r="G15" s="19" t="str">
        <f>VLOOKUP(F15,List2!B$1:C$38,2,FALSE)</f>
        <v>Přísné pravidla o UR</v>
      </c>
      <c r="H15" s="19">
        <v>0.06</v>
      </c>
      <c r="I15" s="25">
        <v>1</v>
      </c>
      <c r="J15" s="11">
        <f>H15*I15</f>
        <v>0.06</v>
      </c>
      <c r="N15" s="20"/>
      <c r="O15" s="18"/>
    </row>
    <row r="16" spans="1:17" x14ac:dyDescent="0.3">
      <c r="A16" s="19" t="s">
        <v>31</v>
      </c>
      <c r="B16" s="19" t="str">
        <f>VLOOKUP(A16,List2!B$1:C$38,2,FALSE)</f>
        <v>Může oslovit populaci se zájimem o  alternativní medicínu</v>
      </c>
      <c r="C16" s="19">
        <v>0.08</v>
      </c>
      <c r="D16" s="23">
        <v>3</v>
      </c>
      <c r="E16" s="1">
        <f t="shared" ref="E16:E24" si="2">C16*D16</f>
        <v>0.24</v>
      </c>
      <c r="F16" s="8" t="s">
        <v>39</v>
      </c>
      <c r="G16" s="19" t="str">
        <f>VLOOKUP(F16,List2!B$1:C$38,2,FALSE)</f>
        <v>Překážky pro vstup globalizace</v>
      </c>
      <c r="H16" s="19">
        <v>7.0000000000000007E-2</v>
      </c>
      <c r="I16" s="25">
        <v>1</v>
      </c>
      <c r="J16" s="11">
        <f>H16*I16</f>
        <v>7.0000000000000007E-2</v>
      </c>
    </row>
    <row r="17" spans="1:10" x14ac:dyDescent="0.3">
      <c r="A17" s="19" t="s">
        <v>32</v>
      </c>
      <c r="B17" s="19" t="str">
        <f>VLOOKUP(A17,List2!B$1:C$38,2,FALSE)</f>
        <v xml:space="preserve">Zavedení více standardů a regulací slov „přírodní“ a „bio“ </v>
      </c>
      <c r="C17" s="19">
        <v>0.08</v>
      </c>
      <c r="D17" s="23">
        <v>4</v>
      </c>
      <c r="E17" s="1">
        <f t="shared" si="2"/>
        <v>0.32</v>
      </c>
      <c r="F17" s="8" t="s">
        <v>40</v>
      </c>
      <c r="G17" s="19" t="str">
        <f>VLOOKUP(F17,List2!B$1:C$38,2,FALSE)</f>
        <v>Konkurence ze strany malých firem</v>
      </c>
      <c r="H17" s="19">
        <v>0.08</v>
      </c>
      <c r="I17" s="25">
        <v>1</v>
      </c>
      <c r="J17" s="11">
        <f t="shared" ref="J17:J24" si="3">H17*I17</f>
        <v>0.08</v>
      </c>
    </row>
    <row r="18" spans="1:10" x14ac:dyDescent="0.3">
      <c r="A18" s="19" t="s">
        <v>33</v>
      </c>
      <c r="B18" s="19" t="str">
        <f>VLOOKUP(A18,List2!B$1:C$38,2,FALSE)</f>
        <v>Získání zdroje z EU</v>
      </c>
      <c r="C18" s="19">
        <v>0.1</v>
      </c>
      <c r="D18" s="23">
        <v>4</v>
      </c>
      <c r="E18" s="1">
        <f t="shared" si="2"/>
        <v>0.4</v>
      </c>
      <c r="F18" s="8" t="s">
        <v>41</v>
      </c>
      <c r="G18" s="19" t="str">
        <f>VLOOKUP(F18,List2!B$1:C$38,2,FALSE)</f>
        <v>Konkurence z innovace mezinárodních velých firem</v>
      </c>
      <c r="H18" s="19">
        <v>0.11</v>
      </c>
      <c r="I18" s="25">
        <v>2</v>
      </c>
      <c r="J18" s="11">
        <f t="shared" si="3"/>
        <v>0.22</v>
      </c>
    </row>
    <row r="19" spans="1:10" x14ac:dyDescent="0.3">
      <c r="A19" s="19" t="s">
        <v>34</v>
      </c>
      <c r="B19" s="19" t="e">
        <f>VLOOKUP(A19,List2!B$1:C$38,2,FALSE)</f>
        <v>#N/A</v>
      </c>
      <c r="C19" s="19"/>
      <c r="D19" s="23"/>
      <c r="E19" s="1">
        <f t="shared" si="2"/>
        <v>0</v>
      </c>
      <c r="F19" s="8" t="s">
        <v>42</v>
      </c>
      <c r="G19" s="19" t="str">
        <f>VLOOKUP(F19,List2!B$1:C$38,2,FALSE)</f>
        <v>Existují silní konkurenti s větším počtem prodejen</v>
      </c>
      <c r="H19" s="19">
        <v>0.11</v>
      </c>
      <c r="I19" s="25">
        <v>2</v>
      </c>
      <c r="J19" s="11">
        <f t="shared" si="3"/>
        <v>0.22</v>
      </c>
    </row>
    <row r="20" spans="1:10" x14ac:dyDescent="0.3">
      <c r="A20" s="19" t="s">
        <v>35</v>
      </c>
      <c r="B20" s="19" t="e">
        <f>VLOOKUP(A20,List2!B$1:C$38,2,FALSE)</f>
        <v>#N/A</v>
      </c>
      <c r="C20" s="19"/>
      <c r="D20" s="23"/>
      <c r="E20" s="1">
        <f t="shared" si="2"/>
        <v>0</v>
      </c>
      <c r="F20" s="8" t="s">
        <v>43</v>
      </c>
      <c r="G20" s="19" t="str">
        <f>VLOOKUP(F20,List2!B$1:C$38,2,FALSE)</f>
        <v>Rostoucí atraktivita odvětví přiláká nové hráče</v>
      </c>
      <c r="H20" s="19">
        <v>0.09</v>
      </c>
      <c r="I20" s="25">
        <v>2</v>
      </c>
      <c r="J20" s="11">
        <f t="shared" si="3"/>
        <v>0.18</v>
      </c>
    </row>
    <row r="21" spans="1:10" x14ac:dyDescent="0.3">
      <c r="A21" s="19" t="s">
        <v>36</v>
      </c>
      <c r="B21" s="19" t="e">
        <f>VLOOKUP(A21,List2!B$1:C$38,2,FALSE)</f>
        <v>#N/A</v>
      </c>
      <c r="C21" s="19"/>
      <c r="D21" s="127"/>
      <c r="E21" s="1">
        <f t="shared" si="2"/>
        <v>0</v>
      </c>
      <c r="F21" s="8" t="s">
        <v>44</v>
      </c>
      <c r="G21" s="19" t="str">
        <f>VLOOKUP(F21,List2!B$1:C$38,2,FALSE)</f>
        <v>Firma by ztratila  svou odlišnost kvůli zavedení standardů</v>
      </c>
      <c r="H21" s="19">
        <v>0.08</v>
      </c>
      <c r="I21" s="25">
        <v>1</v>
      </c>
      <c r="J21" s="11">
        <f t="shared" si="3"/>
        <v>0.08</v>
      </c>
    </row>
    <row r="22" spans="1:10" x14ac:dyDescent="0.3">
      <c r="A22" s="19" t="s">
        <v>37</v>
      </c>
      <c r="B22" s="19" t="e">
        <f>VLOOKUP(A22,List2!B$1:C$38,2,FALSE)</f>
        <v>#N/A</v>
      </c>
      <c r="C22" s="19"/>
      <c r="D22" s="23"/>
      <c r="E22" s="1">
        <f t="shared" si="2"/>
        <v>0</v>
      </c>
      <c r="F22" s="8" t="s">
        <v>45</v>
      </c>
      <c r="G22" s="19" t="str">
        <f>VLOOKUP(F22,List2!B$1:C$38,2,FALSE)</f>
        <v>Vysoká  vyjednávací síla zákazníků</v>
      </c>
      <c r="H22" s="19">
        <v>0.1</v>
      </c>
      <c r="I22" s="25">
        <v>2</v>
      </c>
      <c r="J22" s="11">
        <f t="shared" si="3"/>
        <v>0.2</v>
      </c>
    </row>
    <row r="23" spans="1:10" x14ac:dyDescent="0.3">
      <c r="A23" s="19" t="s">
        <v>99</v>
      </c>
      <c r="B23" s="19" t="e">
        <f>VLOOKUP(A23,List2!B$1:C$38,2,FALSE)</f>
        <v>#N/A</v>
      </c>
      <c r="C23" s="19"/>
      <c r="D23" s="23"/>
      <c r="E23" s="1">
        <f t="shared" si="2"/>
        <v>0</v>
      </c>
      <c r="F23" s="8" t="s">
        <v>46</v>
      </c>
      <c r="G23" s="19" t="e">
        <f>VLOOKUP(F23,List2!B$1:C$38,2,FALSE)</f>
        <v>#N/A</v>
      </c>
      <c r="H23" s="19"/>
      <c r="I23" s="25"/>
      <c r="J23" s="11">
        <f t="shared" si="3"/>
        <v>0</v>
      </c>
    </row>
    <row r="24" spans="1:10" ht="15" thickBot="1" x14ac:dyDescent="0.35">
      <c r="A24" s="22" t="s">
        <v>107</v>
      </c>
      <c r="B24" s="22" t="e">
        <f>VLOOKUP(A24,List2!B$1:C$38,2,FALSE)</f>
        <v>#N/A</v>
      </c>
      <c r="C24" s="22"/>
      <c r="D24" s="24"/>
      <c r="E24" s="9">
        <f t="shared" si="2"/>
        <v>0</v>
      </c>
      <c r="F24" s="10" t="s">
        <v>108</v>
      </c>
      <c r="G24" s="22" t="e">
        <f>VLOOKUP(F24,List2!B$1:C$38,2,FALSE)</f>
        <v>#N/A</v>
      </c>
      <c r="H24" s="22"/>
      <c r="I24" s="26"/>
      <c r="J24" s="13">
        <f t="shared" si="3"/>
        <v>0</v>
      </c>
    </row>
  </sheetData>
  <mergeCells count="4">
    <mergeCell ref="A3:B3"/>
    <mergeCell ref="F3:G3"/>
    <mergeCell ref="F14:G14"/>
    <mergeCell ref="A14:B14"/>
  </mergeCells>
  <conditionalFormatting sqref="M3">
    <cfRule type="cellIs" dxfId="3" priority="1" operator="equal">
      <formula>1</formula>
    </cfRule>
    <cfRule type="cellIs" dxfId="2" priority="4" operator="greaterThan">
      <formula>1</formula>
    </cfRule>
  </conditionalFormatting>
  <conditionalFormatting sqref="M14">
    <cfRule type="cellIs" dxfId="1" priority="2" operator="equal">
      <formula>1</formula>
    </cfRule>
    <cfRule type="cellIs" dxfId="0" priority="3" operator="greaterThan">
      <formula>1</formula>
    </cfRule>
  </conditionalFormatting>
  <dataValidations count="3">
    <dataValidation type="decimal" allowBlank="1" showInputMessage="1" showErrorMessage="1" error="Váha musí být v součtu za interní faktory rovna 1" prompt="Váha musí být v součtu za interní faktory rovna 1" sqref="C4:C13" xr:uid="{FE55F747-1085-47E2-AE81-A21EEA6E8DE1}">
      <formula1>0</formula1>
      <formula2>1</formula2>
    </dataValidation>
    <dataValidation type="decimal" allowBlank="1" showInputMessage="1" showErrorMessage="1" error="Váha musí být v součtu za externí faktory rovna 1" sqref="C15:C24" xr:uid="{3FDDC3BA-EA9E-4101-BCBF-9D1B9E174504}">
      <formula1>0</formula1>
      <formula2>1</formula2>
    </dataValidation>
    <dataValidation type="decimal" allowBlank="1" showInputMessage="1" showErrorMessage="1" error="Váha musí být v součtu za interní faktory rovna 1" sqref="H15:H24" xr:uid="{06411FC0-7340-454D-94CD-ED695A7ADB17}">
      <formula1>0</formula1>
      <formula2>1</formula2>
    </dataValidation>
  </dataValidations>
  <pageMargins left="0.7" right="0.7" top="0.78740157499999996" bottom="0.78740157499999996"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C799D1FD-2FE1-46AB-80E7-44B038A626F3}">
          <x14:formula1>
            <xm:f>List1!$A$3:$A$4</xm:f>
          </x14:formula1>
          <xm:sqref>D4:D13 D15:D20 D22:D24</xm:sqref>
        </x14:dataValidation>
        <x14:dataValidation type="list" allowBlank="1" showInputMessage="1" showErrorMessage="1" xr:uid="{04121910-2532-4B17-A7B5-2777CFD51602}">
          <x14:formula1>
            <xm:f>List1!$A$1:$A$2</xm:f>
          </x14:formula1>
          <xm:sqref>I4:I13 I15:I24</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07A9D-3B55-44A9-84DA-8F3A333542A7}">
  <sheetPr>
    <tabColor theme="2" tint="-0.249977111117893"/>
  </sheetPr>
  <dimension ref="A1:I31"/>
  <sheetViews>
    <sheetView zoomScale="90" zoomScaleNormal="90" workbookViewId="0">
      <selection activeCell="E19" sqref="E19"/>
    </sheetView>
  </sheetViews>
  <sheetFormatPr defaultColWidth="9.109375" defaultRowHeight="14.4" x14ac:dyDescent="0.3"/>
  <cols>
    <col min="1" max="1" width="14.6640625" style="8" customWidth="1"/>
    <col min="2" max="2" width="5" style="8" customWidth="1"/>
    <col min="3" max="3" width="44.33203125" style="8" customWidth="1"/>
    <col min="4" max="4" width="5.88671875" style="8" customWidth="1"/>
    <col min="5" max="5" width="60" style="8" customWidth="1"/>
    <col min="6" max="6" width="21.109375" style="8" customWidth="1"/>
    <col min="7" max="7" width="5.109375" style="8" customWidth="1"/>
    <col min="8" max="8" width="47.33203125" style="8" customWidth="1"/>
    <col min="9" max="9" width="17.33203125" style="8" customWidth="1"/>
    <col min="10" max="16384" width="9.109375" style="8"/>
  </cols>
  <sheetData>
    <row r="1" spans="1:9" ht="15.75" customHeight="1" thickBot="1" x14ac:dyDescent="0.35">
      <c r="A1" s="186" t="s">
        <v>47</v>
      </c>
      <c r="B1" s="187"/>
      <c r="C1" s="188"/>
      <c r="D1" s="198" t="s">
        <v>7</v>
      </c>
      <c r="E1" s="199"/>
      <c r="F1" s="200"/>
      <c r="G1" s="198" t="s">
        <v>8</v>
      </c>
      <c r="H1" s="199"/>
      <c r="I1" s="200"/>
    </row>
    <row r="2" spans="1:9" ht="15" customHeight="1" x14ac:dyDescent="0.3">
      <c r="A2" s="189"/>
      <c r="B2" s="190"/>
      <c r="C2" s="191"/>
      <c r="D2" s="19" t="s">
        <v>30</v>
      </c>
      <c r="E2" s="171" t="str">
        <f>VLOOKUP(D2,List2!B$1:C$38,2,FALSE)</f>
        <v>Nové velké vstupující nedokážou vstoupit rychle</v>
      </c>
      <c r="F2" s="172"/>
      <c r="G2" s="19" t="s">
        <v>38</v>
      </c>
      <c r="H2" s="171" t="str">
        <f>VLOOKUP(G2,List2!B$1:C$38,2,FALSE)</f>
        <v>Přísné pravidla o UR</v>
      </c>
      <c r="I2" s="172"/>
    </row>
    <row r="3" spans="1:9" ht="15" customHeight="1" x14ac:dyDescent="0.3">
      <c r="A3" s="189"/>
      <c r="B3" s="190"/>
      <c r="C3" s="191"/>
      <c r="D3" s="19" t="s">
        <v>31</v>
      </c>
      <c r="E3" s="171" t="str">
        <f>VLOOKUP(D3,List2!B$1:C$38,2,FALSE)</f>
        <v>Může oslovit populaci se zájimem o  alternativní medicínu</v>
      </c>
      <c r="F3" s="172"/>
      <c r="G3" s="19" t="s">
        <v>39</v>
      </c>
      <c r="H3" s="171" t="str">
        <f>VLOOKUP(G3,List2!B$1:C$38,2,FALSE)</f>
        <v>Překážky pro vstup globalizace</v>
      </c>
      <c r="I3" s="172"/>
    </row>
    <row r="4" spans="1:9" ht="15" customHeight="1" x14ac:dyDescent="0.3">
      <c r="A4" s="189"/>
      <c r="B4" s="190"/>
      <c r="C4" s="191"/>
      <c r="D4" s="19" t="s">
        <v>32</v>
      </c>
      <c r="E4" s="171" t="str">
        <f>VLOOKUP(D4,List2!B$1:C$38,2,FALSE)</f>
        <v xml:space="preserve">Zavedení více standardů a regulací slov „přírodní“ a „bio“ </v>
      </c>
      <c r="F4" s="172"/>
      <c r="G4" s="19" t="s">
        <v>40</v>
      </c>
      <c r="H4" s="171" t="str">
        <f>VLOOKUP(G4,List2!B$1:C$38,2,FALSE)</f>
        <v>Konkurence ze strany malých firem</v>
      </c>
      <c r="I4" s="172"/>
    </row>
    <row r="5" spans="1:9" ht="15" customHeight="1" x14ac:dyDescent="0.3">
      <c r="A5" s="189"/>
      <c r="B5" s="190"/>
      <c r="C5" s="191"/>
      <c r="D5" s="19" t="s">
        <v>33</v>
      </c>
      <c r="E5" s="171" t="str">
        <f>VLOOKUP(D5,List2!B$1:C$38,2,FALSE)</f>
        <v>Získání zdroje z EU</v>
      </c>
      <c r="F5" s="172"/>
      <c r="G5" s="19" t="s">
        <v>41</v>
      </c>
      <c r="H5" s="171" t="str">
        <f>VLOOKUP(G5,List2!B$1:C$38,2,FALSE)</f>
        <v>Konkurence z innovace mezinárodních velých firem</v>
      </c>
      <c r="I5" s="172"/>
    </row>
    <row r="6" spans="1:9" ht="15" customHeight="1" x14ac:dyDescent="0.3">
      <c r="A6" s="189"/>
      <c r="B6" s="190"/>
      <c r="C6" s="191"/>
      <c r="D6" s="19" t="s">
        <v>34</v>
      </c>
      <c r="E6" s="171" t="e">
        <f>VLOOKUP(D6,List2!B$1:C$38,2,FALSE)</f>
        <v>#N/A</v>
      </c>
      <c r="F6" s="172"/>
      <c r="G6" s="19" t="s">
        <v>42</v>
      </c>
      <c r="H6" s="171" t="str">
        <f>VLOOKUP(G6,List2!B$1:C$38,2,FALSE)</f>
        <v>Existují silní konkurenti s větším počtem prodejen</v>
      </c>
      <c r="I6" s="172"/>
    </row>
    <row r="7" spans="1:9" ht="15" customHeight="1" x14ac:dyDescent="0.3">
      <c r="A7" s="192" t="s">
        <v>110</v>
      </c>
      <c r="B7" s="192"/>
      <c r="C7" s="193"/>
      <c r="D7" s="19" t="s">
        <v>35</v>
      </c>
      <c r="E7" s="171" t="e">
        <f>VLOOKUP(D7,List2!B$1:C$38,2,FALSE)</f>
        <v>#N/A</v>
      </c>
      <c r="F7" s="172"/>
      <c r="G7" s="19" t="s">
        <v>43</v>
      </c>
      <c r="H7" s="171" t="str">
        <f>VLOOKUP(G7,List2!B$1:C$38,2,FALSE)</f>
        <v>Rostoucí atraktivita odvětví přiláká nové hráče</v>
      </c>
      <c r="I7" s="172"/>
    </row>
    <row r="8" spans="1:9" ht="15" customHeight="1" x14ac:dyDescent="0.3">
      <c r="A8" s="192"/>
      <c r="B8" s="192"/>
      <c r="C8" s="193"/>
      <c r="D8" s="19" t="s">
        <v>36</v>
      </c>
      <c r="E8" s="171" t="e">
        <f>VLOOKUP(D8,List2!B$1:C$38,2,FALSE)</f>
        <v>#N/A</v>
      </c>
      <c r="F8" s="172"/>
      <c r="G8" s="19" t="s">
        <v>44</v>
      </c>
      <c r="H8" s="171" t="str">
        <f>VLOOKUP(G8,List2!B$1:C$38,2,FALSE)</f>
        <v>Firma by ztratila  svou odlišnost kvůli zavedení standardů</v>
      </c>
      <c r="I8" s="172"/>
    </row>
    <row r="9" spans="1:9" ht="15" customHeight="1" x14ac:dyDescent="0.3">
      <c r="A9" s="194" t="str">
        <f>'5. SWOT'!Q3</f>
        <v>S</v>
      </c>
      <c r="B9" s="194" t="str">
        <f>'5. SWOT'!Q14</f>
        <v>T</v>
      </c>
      <c r="C9" s="196"/>
      <c r="D9" s="19" t="s">
        <v>37</v>
      </c>
      <c r="E9" s="171" t="e">
        <f>VLOOKUP(D9,List2!B$1:C$38,2,FALSE)</f>
        <v>#N/A</v>
      </c>
      <c r="F9" s="172"/>
      <c r="G9" s="19" t="s">
        <v>45</v>
      </c>
      <c r="H9" s="171" t="str">
        <f>VLOOKUP(G9,List2!B$1:C$38,2,FALSE)</f>
        <v>Vysoká  vyjednávací síla zákazníků</v>
      </c>
      <c r="I9" s="172"/>
    </row>
    <row r="10" spans="1:9" ht="15" customHeight="1" x14ac:dyDescent="0.3">
      <c r="A10" s="194"/>
      <c r="B10" s="194"/>
      <c r="C10" s="196"/>
      <c r="D10" s="19" t="s">
        <v>99</v>
      </c>
      <c r="E10" s="171" t="e">
        <f>VLOOKUP(D10,List2!B$1:C$38,2,FALSE)</f>
        <v>#N/A</v>
      </c>
      <c r="F10" s="172"/>
      <c r="G10" s="19" t="s">
        <v>46</v>
      </c>
      <c r="H10" s="171" t="e">
        <f>VLOOKUP(G10,List2!B$1:C$38,2,FALSE)</f>
        <v>#N/A</v>
      </c>
      <c r="I10" s="172"/>
    </row>
    <row r="11" spans="1:9" ht="15.75" customHeight="1" thickBot="1" x14ac:dyDescent="0.35">
      <c r="A11" s="195"/>
      <c r="B11" s="195"/>
      <c r="C11" s="197"/>
      <c r="D11" s="22" t="s">
        <v>107</v>
      </c>
      <c r="E11" s="171" t="e">
        <f>VLOOKUP(D11,List2!B$1:C$38,2,FALSE)</f>
        <v>#N/A</v>
      </c>
      <c r="F11" s="172"/>
      <c r="G11" s="22" t="s">
        <v>108</v>
      </c>
      <c r="H11" s="171" t="e">
        <f>VLOOKUP(G11,List2!B$1:C$38,2,FALSE)</f>
        <v>#N/A</v>
      </c>
      <c r="I11" s="172"/>
    </row>
    <row r="12" spans="1:9" ht="15" thickBot="1" x14ac:dyDescent="0.35">
      <c r="A12" s="173" t="s">
        <v>0</v>
      </c>
      <c r="B12" s="28" t="s">
        <v>13</v>
      </c>
      <c r="C12" s="8" t="str">
        <f>VLOOKUP(B12,List2!B$1:C$38,2,FALSE)</f>
        <v>Prospěch ze zdravotního povědomí</v>
      </c>
      <c r="D12" s="181" t="s">
        <v>48</v>
      </c>
      <c r="E12" s="182"/>
      <c r="F12" s="182"/>
      <c r="G12" s="183" t="s">
        <v>49</v>
      </c>
      <c r="H12" s="184"/>
      <c r="I12" s="185"/>
    </row>
    <row r="13" spans="1:9" x14ac:dyDescent="0.3">
      <c r="A13" s="174"/>
      <c r="B13" s="29" t="s">
        <v>14</v>
      </c>
      <c r="C13" s="8" t="str">
        <f>VLOOKUP(B13,List2!B$1:C$38,2,FALSE)</f>
        <v>Ekologicy založená firma</v>
      </c>
      <c r="D13" s="39" t="s">
        <v>50</v>
      </c>
      <c r="E13" s="40" t="s">
        <v>348</v>
      </c>
      <c r="F13" s="41" t="s">
        <v>355</v>
      </c>
      <c r="G13" s="42" t="s">
        <v>51</v>
      </c>
      <c r="H13" s="43" t="s">
        <v>379</v>
      </c>
      <c r="I13" s="44" t="s">
        <v>371</v>
      </c>
    </row>
    <row r="14" spans="1:9" x14ac:dyDescent="0.3">
      <c r="A14" s="174"/>
      <c r="B14" s="29" t="s">
        <v>15</v>
      </c>
      <c r="C14" s="8" t="str">
        <f>VLOOKUP(B14,List2!B$1:C$38,2,FALSE)</f>
        <v>Schopnost rychlé reakce na legislativu</v>
      </c>
      <c r="D14" s="45" t="s">
        <v>52</v>
      </c>
      <c r="E14" s="46" t="s">
        <v>408</v>
      </c>
      <c r="F14" s="41" t="s">
        <v>359</v>
      </c>
      <c r="G14" s="48" t="s">
        <v>53</v>
      </c>
      <c r="H14" s="49" t="s">
        <v>381</v>
      </c>
      <c r="I14" s="50" t="s">
        <v>380</v>
      </c>
    </row>
    <row r="15" spans="1:9" x14ac:dyDescent="0.3">
      <c r="A15" s="174"/>
      <c r="B15" s="29" t="s">
        <v>16</v>
      </c>
      <c r="C15" s="8" t="str">
        <f>VLOOKUP(B15,List2!B$1:C$38,2,FALSE)</f>
        <v>Jednotným marketingovým přístupem lze přílákat nové zákaznky.</v>
      </c>
      <c r="D15" s="45" t="s">
        <v>54</v>
      </c>
      <c r="E15" s="46" t="s">
        <v>361</v>
      </c>
      <c r="F15" s="47" t="s">
        <v>360</v>
      </c>
      <c r="G15" s="48" t="s">
        <v>55</v>
      </c>
      <c r="H15" s="49" t="s">
        <v>391</v>
      </c>
      <c r="I15" s="50" t="s">
        <v>390</v>
      </c>
    </row>
    <row r="16" spans="1:9" x14ac:dyDescent="0.3">
      <c r="A16" s="174"/>
      <c r="B16" s="29" t="s">
        <v>17</v>
      </c>
      <c r="C16" s="8" t="str">
        <f>VLOOKUP(B16,List2!B$1:C$38,2,FALSE)</f>
        <v>Ryzí a kvalitnější produkty</v>
      </c>
      <c r="D16" s="45" t="s">
        <v>56</v>
      </c>
      <c r="E16" s="46" t="s">
        <v>349</v>
      </c>
      <c r="F16" s="41" t="s">
        <v>396</v>
      </c>
      <c r="G16" s="48" t="s">
        <v>57</v>
      </c>
      <c r="H16" s="49"/>
      <c r="I16" s="50"/>
    </row>
    <row r="17" spans="1:9" x14ac:dyDescent="0.3">
      <c r="A17" s="174"/>
      <c r="B17" s="29" t="s">
        <v>18</v>
      </c>
      <c r="C17" s="8" t="str">
        <f>VLOOKUP(B17,List2!B$1:C$38,2,FALSE)</f>
        <v>Schopnost řízení dodávek</v>
      </c>
      <c r="D17" s="45" t="s">
        <v>58</v>
      </c>
      <c r="E17" s="46"/>
      <c r="F17" s="47"/>
      <c r="G17" s="48" t="s">
        <v>59</v>
      </c>
      <c r="H17" s="49"/>
      <c r="I17" s="50"/>
    </row>
    <row r="18" spans="1:9" x14ac:dyDescent="0.3">
      <c r="A18" s="174"/>
      <c r="B18" s="29" t="s">
        <v>19</v>
      </c>
      <c r="C18" s="8" t="str">
        <f>VLOOKUP(B18,List2!B$1:C$38,2,FALSE)</f>
        <v xml:space="preserve">Jedinečný systém školení </v>
      </c>
      <c r="D18" s="45" t="s">
        <v>60</v>
      </c>
      <c r="E18" s="46"/>
      <c r="F18" s="47"/>
      <c r="G18" s="48" t="s">
        <v>61</v>
      </c>
      <c r="H18" s="49"/>
      <c r="I18" s="50"/>
    </row>
    <row r="19" spans="1:9" x14ac:dyDescent="0.3">
      <c r="A19" s="174"/>
      <c r="B19" s="29" t="s">
        <v>20</v>
      </c>
      <c r="C19" s="8" t="str">
        <f>VLOOKUP(B19,List2!B$1:C$38,2,FALSE)</f>
        <v>Vysoká kvalita zaměstnamců</v>
      </c>
      <c r="D19" s="45" t="s">
        <v>84</v>
      </c>
      <c r="E19" s="46"/>
      <c r="F19" s="47"/>
      <c r="G19" s="48" t="s">
        <v>87</v>
      </c>
      <c r="H19" s="49"/>
      <c r="I19" s="50"/>
    </row>
    <row r="20" spans="1:9" x14ac:dyDescent="0.3">
      <c r="A20" s="174"/>
      <c r="B20" s="29" t="s">
        <v>96</v>
      </c>
      <c r="C20" s="8" t="str">
        <f>VLOOKUP(B20,List2!B$1:C$38,2,FALSE)</f>
        <v>Dobře fungující e-shop</v>
      </c>
      <c r="D20" s="45" t="s">
        <v>85</v>
      </c>
      <c r="E20" s="46"/>
      <c r="F20" s="47"/>
      <c r="G20" s="48" t="s">
        <v>88</v>
      </c>
      <c r="H20" s="49"/>
      <c r="I20" s="50"/>
    </row>
    <row r="21" spans="1:9" ht="15" thickBot="1" x14ac:dyDescent="0.35">
      <c r="A21" s="175"/>
      <c r="B21" s="30" t="s">
        <v>97</v>
      </c>
      <c r="C21" s="10" t="str">
        <f>VLOOKUP(B21,List2!B$1:C$38,2,FALSE)</f>
        <v>Důraz na kvalitní tuzemské bio certifikace</v>
      </c>
      <c r="D21" s="51" t="s">
        <v>86</v>
      </c>
      <c r="E21" s="52"/>
      <c r="F21" s="53"/>
      <c r="G21" s="54" t="s">
        <v>89</v>
      </c>
      <c r="H21" s="55"/>
      <c r="I21" s="56"/>
    </row>
    <row r="22" spans="1:9" ht="15" thickBot="1" x14ac:dyDescent="0.35">
      <c r="A22" s="173" t="s">
        <v>4</v>
      </c>
      <c r="B22" s="28" t="s">
        <v>21</v>
      </c>
      <c r="C22" s="31" t="str">
        <f>VLOOKUP(B22,List2!B$1:C$38,2,FALSE)</f>
        <v>Konkurence cenou</v>
      </c>
      <c r="D22" s="176" t="s">
        <v>62</v>
      </c>
      <c r="E22" s="177"/>
      <c r="F22" s="177"/>
      <c r="G22" s="178" t="s">
        <v>63</v>
      </c>
      <c r="H22" s="179"/>
      <c r="I22" s="180"/>
    </row>
    <row r="23" spans="1:9" x14ac:dyDescent="0.3">
      <c r="A23" s="174"/>
      <c r="B23" s="29" t="s">
        <v>22</v>
      </c>
      <c r="C23" s="8" t="str">
        <f>VLOOKUP(B23,List2!B$1:C$38,2,FALSE)</f>
        <v>Omezené kamenné prodejny</v>
      </c>
      <c r="D23" s="57" t="s">
        <v>64</v>
      </c>
      <c r="E23" s="58" t="s">
        <v>366</v>
      </c>
      <c r="F23" s="59" t="s">
        <v>367</v>
      </c>
      <c r="G23" s="60" t="s">
        <v>65</v>
      </c>
      <c r="H23" s="61" t="s">
        <v>394</v>
      </c>
      <c r="I23" s="62" t="s">
        <v>376</v>
      </c>
    </row>
    <row r="24" spans="1:9" x14ac:dyDescent="0.3">
      <c r="A24" s="174"/>
      <c r="B24" s="29" t="s">
        <v>23</v>
      </c>
      <c r="C24" s="8" t="str">
        <f>VLOOKUP(B24,List2!B$1:C$38,2,FALSE)</f>
        <v>Chybí mezinárodní certifikace</v>
      </c>
      <c r="D24" s="63" t="s">
        <v>66</v>
      </c>
      <c r="E24" s="64" t="s">
        <v>386</v>
      </c>
      <c r="F24" s="65" t="s">
        <v>387</v>
      </c>
      <c r="G24" s="66" t="s">
        <v>67</v>
      </c>
      <c r="H24" s="67"/>
      <c r="I24" s="68"/>
    </row>
    <row r="25" spans="1:9" x14ac:dyDescent="0.3">
      <c r="A25" s="174"/>
      <c r="B25" s="29" t="s">
        <v>24</v>
      </c>
      <c r="C25" s="8" t="str">
        <f>VLOOKUP(B25,List2!B$1:C$38,2,FALSE)</f>
        <v>Řízení partnerství</v>
      </c>
      <c r="D25" s="63" t="s">
        <v>68</v>
      </c>
      <c r="E25" s="64"/>
      <c r="F25" s="65"/>
      <c r="G25" s="66" t="s">
        <v>69</v>
      </c>
      <c r="H25" s="67"/>
      <c r="I25" s="68"/>
    </row>
    <row r="26" spans="1:9" x14ac:dyDescent="0.3">
      <c r="A26" s="174"/>
      <c r="B26" s="29" t="s">
        <v>25</v>
      </c>
      <c r="C26" s="8" t="e">
        <f>VLOOKUP(B26,List2!B$1:C$38,2,FALSE)</f>
        <v>#N/A</v>
      </c>
      <c r="D26" s="63" t="s">
        <v>70</v>
      </c>
      <c r="E26" s="64"/>
      <c r="F26" s="65"/>
      <c r="G26" s="66" t="s">
        <v>71</v>
      </c>
      <c r="H26" s="67"/>
      <c r="I26" s="68"/>
    </row>
    <row r="27" spans="1:9" x14ac:dyDescent="0.3">
      <c r="A27" s="174"/>
      <c r="B27" s="29" t="s">
        <v>26</v>
      </c>
      <c r="C27" s="8" t="e">
        <f>VLOOKUP(B27,List2!B$1:C$38,2,FALSE)</f>
        <v>#N/A</v>
      </c>
      <c r="D27" s="63" t="s">
        <v>72</v>
      </c>
      <c r="E27" s="64"/>
      <c r="F27" s="65"/>
      <c r="G27" s="66" t="s">
        <v>73</v>
      </c>
      <c r="H27" s="67"/>
      <c r="I27" s="68"/>
    </row>
    <row r="28" spans="1:9" x14ac:dyDescent="0.3">
      <c r="A28" s="174"/>
      <c r="B28" s="29" t="s">
        <v>27</v>
      </c>
      <c r="C28" s="8" t="e">
        <f>VLOOKUP(B28,List2!B$1:C$38,2,FALSE)</f>
        <v>#N/A</v>
      </c>
      <c r="D28" s="63" t="s">
        <v>74</v>
      </c>
      <c r="E28" s="64"/>
      <c r="F28" s="65"/>
      <c r="G28" s="66" t="s">
        <v>75</v>
      </c>
      <c r="H28" s="67"/>
      <c r="I28" s="68"/>
    </row>
    <row r="29" spans="1:9" x14ac:dyDescent="0.3">
      <c r="A29" s="174"/>
      <c r="B29" s="29" t="s">
        <v>28</v>
      </c>
      <c r="C29" s="8" t="e">
        <f>VLOOKUP(B29,List2!B$1:C$38,2,FALSE)</f>
        <v>#N/A</v>
      </c>
      <c r="D29" s="63" t="s">
        <v>90</v>
      </c>
      <c r="E29" s="64"/>
      <c r="F29" s="65"/>
      <c r="G29" s="66" t="s">
        <v>93</v>
      </c>
      <c r="H29" s="67"/>
      <c r="I29" s="68"/>
    </row>
    <row r="30" spans="1:9" x14ac:dyDescent="0.3">
      <c r="A30" s="174"/>
      <c r="B30" s="29" t="s">
        <v>29</v>
      </c>
      <c r="C30" s="8" t="e">
        <f>VLOOKUP(B30,List2!B$1:C$38,2,FALSE)</f>
        <v>#N/A</v>
      </c>
      <c r="D30" s="63" t="s">
        <v>91</v>
      </c>
      <c r="E30" s="64"/>
      <c r="F30" s="65"/>
      <c r="G30" s="66" t="s">
        <v>94</v>
      </c>
      <c r="H30" s="67"/>
      <c r="I30" s="68"/>
    </row>
    <row r="31" spans="1:9" ht="15" thickBot="1" x14ac:dyDescent="0.35">
      <c r="A31" s="175"/>
      <c r="B31" s="30" t="s">
        <v>98</v>
      </c>
      <c r="C31" s="10" t="e">
        <f>VLOOKUP(B31,List2!B$1:C$38,2,FALSE)</f>
        <v>#N/A</v>
      </c>
      <c r="D31" s="69" t="s">
        <v>92</v>
      </c>
      <c r="E31" s="70"/>
      <c r="F31" s="71"/>
      <c r="G31" s="72" t="s">
        <v>95</v>
      </c>
      <c r="H31" s="73"/>
      <c r="I31" s="74"/>
    </row>
  </sheetData>
  <protectedRanges>
    <protectedRange sqref="D12:I31" name="TOWS cíle"/>
  </protectedRanges>
  <mergeCells count="32">
    <mergeCell ref="G1:I1"/>
    <mergeCell ref="E5:F5"/>
    <mergeCell ref="E6:F6"/>
    <mergeCell ref="E7:F7"/>
    <mergeCell ref="H4:I4"/>
    <mergeCell ref="H7:I7"/>
    <mergeCell ref="E11:F11"/>
    <mergeCell ref="H5:I5"/>
    <mergeCell ref="A22:A31"/>
    <mergeCell ref="D22:F22"/>
    <mergeCell ref="G22:I22"/>
    <mergeCell ref="A12:A21"/>
    <mergeCell ref="D12:F12"/>
    <mergeCell ref="G12:I12"/>
    <mergeCell ref="E8:F8"/>
    <mergeCell ref="A1:C6"/>
    <mergeCell ref="A7:C8"/>
    <mergeCell ref="A9:A11"/>
    <mergeCell ref="B9:C11"/>
    <mergeCell ref="H11:I11"/>
    <mergeCell ref="H6:I6"/>
    <mergeCell ref="D1:F1"/>
    <mergeCell ref="H8:I8"/>
    <mergeCell ref="H9:I9"/>
    <mergeCell ref="H10:I10"/>
    <mergeCell ref="E9:F9"/>
    <mergeCell ref="E2:F2"/>
    <mergeCell ref="H2:I2"/>
    <mergeCell ref="E3:F3"/>
    <mergeCell ref="E4:F4"/>
    <mergeCell ref="H3:I3"/>
    <mergeCell ref="E10:F10"/>
  </mergeCells>
  <pageMargins left="0.7" right="0.7" top="0.78740157499999996" bottom="0.78740157499999996" header="0.3" footer="0.3"/>
  <pageSetup paperSize="9" scale="38"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41D8-0372-4B14-ACA3-5241656D6CA1}">
  <sheetPr>
    <tabColor theme="2" tint="-0.249977111117893"/>
  </sheetPr>
  <dimension ref="A1:K31"/>
  <sheetViews>
    <sheetView zoomScaleNormal="100" zoomScaleSheetLayoutView="80" workbookViewId="0">
      <pane xSplit="3" ySplit="1" topLeftCell="H9" activePane="bottomRight" state="frozen"/>
      <selection pane="topRight" activeCell="D1" sqref="D1"/>
      <selection pane="bottomLeft" activeCell="A2" sqref="A2"/>
      <selection pane="bottomRight" activeCell="J15" sqref="J15"/>
    </sheetView>
  </sheetViews>
  <sheetFormatPr defaultRowHeight="14.4" x14ac:dyDescent="0.3"/>
  <cols>
    <col min="1" max="1" width="5.77734375" customWidth="1"/>
    <col min="2" max="2" width="17.44140625" customWidth="1"/>
    <col min="3" max="3" width="26.44140625" customWidth="1"/>
    <col min="5" max="8" width="32.88671875" customWidth="1"/>
    <col min="9" max="9" width="15.109375" customWidth="1"/>
    <col min="10" max="10" width="12.88671875" customWidth="1"/>
    <col min="11" max="11" width="13.5546875" customWidth="1"/>
  </cols>
  <sheetData>
    <row r="1" spans="1:11" ht="49.2" customHeight="1" thickBot="1" x14ac:dyDescent="0.35">
      <c r="A1" s="4" t="s">
        <v>76</v>
      </c>
      <c r="B1" s="5" t="s">
        <v>112</v>
      </c>
      <c r="C1" s="5" t="s">
        <v>77</v>
      </c>
      <c r="D1" s="5" t="s">
        <v>78</v>
      </c>
      <c r="E1" s="5" t="s">
        <v>79</v>
      </c>
      <c r="F1" s="5" t="s">
        <v>80</v>
      </c>
      <c r="G1" s="5" t="s">
        <v>400</v>
      </c>
      <c r="H1" s="5" t="s">
        <v>377</v>
      </c>
      <c r="I1" s="5" t="s">
        <v>81</v>
      </c>
      <c r="J1" s="5" t="s">
        <v>82</v>
      </c>
      <c r="K1" s="6" t="s">
        <v>83</v>
      </c>
    </row>
    <row r="2" spans="1:11" ht="57.6" x14ac:dyDescent="0.3">
      <c r="A2" s="34" t="s">
        <v>50</v>
      </c>
      <c r="B2" s="34" t="str">
        <f>'5. TOWS matrix'!F13</f>
        <v>S1,S5,S6,S8,S10,O2,O3</v>
      </c>
      <c r="C2" s="34" t="s">
        <v>409</v>
      </c>
      <c r="D2" s="34">
        <v>4</v>
      </c>
      <c r="E2" s="34" t="s">
        <v>397</v>
      </c>
      <c r="F2" s="34" t="s">
        <v>419</v>
      </c>
      <c r="G2" s="34" t="s">
        <v>352</v>
      </c>
      <c r="H2" s="34" t="s">
        <v>354</v>
      </c>
      <c r="I2" s="34" t="s">
        <v>363</v>
      </c>
      <c r="J2" s="34" t="s">
        <v>406</v>
      </c>
      <c r="K2" s="35"/>
    </row>
    <row r="3" spans="1:11" ht="28.8" x14ac:dyDescent="0.3">
      <c r="A3" s="34" t="s">
        <v>52</v>
      </c>
      <c r="B3" s="34" t="str">
        <f>'5. TOWS matrix'!F14</f>
        <v>S2,O3,O4</v>
      </c>
      <c r="C3" s="34" t="str">
        <f>'5. TOWS matrix'!E14</f>
        <v>Jako kompletní ekologická firma</v>
      </c>
      <c r="D3" s="34">
        <v>10</v>
      </c>
      <c r="E3" s="34" t="s">
        <v>356</v>
      </c>
      <c r="F3" s="34" t="s">
        <v>357</v>
      </c>
      <c r="G3" t="s">
        <v>411</v>
      </c>
      <c r="H3" s="34" t="s">
        <v>358</v>
      </c>
      <c r="I3" s="34" t="s">
        <v>364</v>
      </c>
      <c r="J3" s="34" t="s">
        <v>55</v>
      </c>
      <c r="K3" s="35"/>
    </row>
    <row r="4" spans="1:11" ht="72" x14ac:dyDescent="0.3">
      <c r="A4" s="34" t="s">
        <v>54</v>
      </c>
      <c r="B4" s="34" t="str">
        <f>'5. TOWS matrix'!F15</f>
        <v>S4,S5.S9, O1,O2</v>
      </c>
      <c r="C4" s="34" t="s">
        <v>373</v>
      </c>
      <c r="D4" s="34">
        <v>6</v>
      </c>
      <c r="E4" s="34" t="s">
        <v>413</v>
      </c>
      <c r="F4" s="34" t="s">
        <v>362</v>
      </c>
      <c r="G4" s="34" t="s">
        <v>412</v>
      </c>
      <c r="H4" s="34" t="s">
        <v>420</v>
      </c>
      <c r="I4" s="34" t="s">
        <v>365</v>
      </c>
      <c r="J4" s="34" t="s">
        <v>401</v>
      </c>
      <c r="K4" s="35"/>
    </row>
    <row r="5" spans="1:11" ht="43.2" x14ac:dyDescent="0.3">
      <c r="A5" s="34" t="s">
        <v>56</v>
      </c>
      <c r="B5" s="34" t="str">
        <f>'5. TOWS matrix'!F13</f>
        <v>S1,S5,S6,S8,S10,O2,O3</v>
      </c>
      <c r="C5" s="34" t="s">
        <v>349</v>
      </c>
      <c r="D5" s="34">
        <v>5</v>
      </c>
      <c r="E5" s="34" t="s">
        <v>350</v>
      </c>
      <c r="F5" s="34" t="s">
        <v>418</v>
      </c>
      <c r="G5" s="34" t="s">
        <v>351</v>
      </c>
      <c r="H5" s="34" t="s">
        <v>353</v>
      </c>
      <c r="I5" s="34" t="s">
        <v>364</v>
      </c>
      <c r="J5" s="34"/>
      <c r="K5" s="35" t="s">
        <v>50</v>
      </c>
    </row>
    <row r="6" spans="1:11" ht="72" x14ac:dyDescent="0.3">
      <c r="A6" s="33" t="s">
        <v>64</v>
      </c>
      <c r="B6" s="34" t="str">
        <f>'5. TOWS matrix'!F23</f>
        <v>W2.O1</v>
      </c>
      <c r="C6" s="34" t="s">
        <v>368</v>
      </c>
      <c r="D6" s="34">
        <v>2</v>
      </c>
      <c r="E6" s="34" t="s">
        <v>414</v>
      </c>
      <c r="F6" s="34" t="s">
        <v>398</v>
      </c>
      <c r="G6" s="34" t="s">
        <v>369</v>
      </c>
      <c r="H6" s="34" t="s">
        <v>370</v>
      </c>
      <c r="I6" s="34" t="s">
        <v>363</v>
      </c>
      <c r="J6" s="34"/>
      <c r="K6" s="35"/>
    </row>
    <row r="7" spans="1:11" ht="43.2" x14ac:dyDescent="0.3">
      <c r="A7" s="33" t="s">
        <v>51</v>
      </c>
      <c r="B7" s="34" t="str">
        <f>'5. TOWS matrix'!I13</f>
        <v>S2,S5,S10,T3,T4,T5</v>
      </c>
      <c r="C7" s="34" t="s">
        <v>372</v>
      </c>
      <c r="D7" s="34">
        <v>1</v>
      </c>
      <c r="E7" s="34" t="s">
        <v>374</v>
      </c>
      <c r="F7" s="34" t="s">
        <v>375</v>
      </c>
      <c r="G7" s="34" t="s">
        <v>403</v>
      </c>
      <c r="H7" s="34" t="s">
        <v>402</v>
      </c>
      <c r="I7" s="34" t="s">
        <v>364</v>
      </c>
      <c r="K7" s="35" t="s">
        <v>407</v>
      </c>
    </row>
    <row r="8" spans="1:11" ht="57.6" x14ac:dyDescent="0.3">
      <c r="A8" s="33" t="s">
        <v>65</v>
      </c>
      <c r="B8" s="34" t="str">
        <f>'5. TOWS matrix'!I23</f>
        <v>W4,T3,T5</v>
      </c>
      <c r="C8" s="34" t="str">
        <f>'5. TOWS matrix'!H23</f>
        <v>Rozšíření tržní podíl ze stabilní sítě prodejních partnerů</v>
      </c>
      <c r="D8" s="34">
        <v>3</v>
      </c>
      <c r="E8" s="34" t="s">
        <v>415</v>
      </c>
      <c r="F8" s="34" t="s">
        <v>417</v>
      </c>
      <c r="G8" s="34" t="s">
        <v>421</v>
      </c>
      <c r="H8" s="34" t="s">
        <v>422</v>
      </c>
      <c r="I8" s="34" t="s">
        <v>363</v>
      </c>
      <c r="J8" s="34" t="s">
        <v>53</v>
      </c>
      <c r="K8" s="35"/>
    </row>
    <row r="9" spans="1:11" ht="86.4" x14ac:dyDescent="0.3">
      <c r="A9" s="33" t="str">
        <f>'5. TOWS matrix'!G14</f>
        <v>ST2</v>
      </c>
      <c r="B9" s="34" t="str">
        <f>'5. TOWS matrix'!I14</f>
        <v>S7,T7</v>
      </c>
      <c r="C9" s="34" t="s">
        <v>382</v>
      </c>
      <c r="D9" s="34">
        <v>7</v>
      </c>
      <c r="E9" s="34" t="s">
        <v>383</v>
      </c>
      <c r="F9" s="34" t="s">
        <v>384</v>
      </c>
      <c r="G9" s="34" t="s">
        <v>410</v>
      </c>
      <c r="H9" s="34" t="s">
        <v>385</v>
      </c>
      <c r="I9" s="34" t="s">
        <v>364</v>
      </c>
      <c r="J9" s="34"/>
      <c r="K9" s="35" t="s">
        <v>65</v>
      </c>
    </row>
    <row r="10" spans="1:11" ht="57.6" x14ac:dyDescent="0.3">
      <c r="A10" s="33" t="str">
        <f>'5. TOWS matrix'!D24</f>
        <v>WO2</v>
      </c>
      <c r="B10" s="34" t="str">
        <f>'5. TOWS matrix'!F24</f>
        <v>W3,O3</v>
      </c>
      <c r="C10" s="34" t="s">
        <v>393</v>
      </c>
      <c r="D10" s="34">
        <v>9</v>
      </c>
      <c r="E10" s="34" t="s">
        <v>416</v>
      </c>
      <c r="F10" s="34" t="s">
        <v>399</v>
      </c>
      <c r="G10" s="34" t="s">
        <v>388</v>
      </c>
      <c r="H10" s="34" t="s">
        <v>389</v>
      </c>
      <c r="I10" s="34" t="s">
        <v>363</v>
      </c>
      <c r="J10" s="34"/>
      <c r="K10" s="35"/>
    </row>
    <row r="11" spans="1:11" ht="72" x14ac:dyDescent="0.3">
      <c r="A11" s="33" t="str">
        <f>'5. TOWS matrix'!G15</f>
        <v>ST3</v>
      </c>
      <c r="B11" s="34" t="str">
        <f>'5. TOWS matrix'!I15</f>
        <v>S8,T7</v>
      </c>
      <c r="C11" s="34" t="str">
        <f>'5. TOWS matrix'!H15</f>
        <v>Diferenciace produktů pomocí zaměstnanecké inovace</v>
      </c>
      <c r="D11" s="34">
        <v>8</v>
      </c>
      <c r="E11" s="34" t="s">
        <v>392</v>
      </c>
      <c r="F11" s="34" t="s">
        <v>395</v>
      </c>
      <c r="G11" s="34" t="s">
        <v>405</v>
      </c>
      <c r="H11" s="34" t="s">
        <v>404</v>
      </c>
      <c r="I11" s="34" t="s">
        <v>363</v>
      </c>
      <c r="K11" s="35" t="s">
        <v>52</v>
      </c>
    </row>
    <row r="12" spans="1:11" x14ac:dyDescent="0.3">
      <c r="A12" s="33"/>
      <c r="B12" s="34"/>
      <c r="C12" s="34"/>
      <c r="D12" s="34"/>
      <c r="E12" s="34"/>
      <c r="F12" s="34"/>
      <c r="G12" s="34"/>
      <c r="H12" s="34"/>
      <c r="I12" s="34"/>
      <c r="J12" s="34"/>
      <c r="K12" s="35"/>
    </row>
    <row r="13" spans="1:11" x14ac:dyDescent="0.3">
      <c r="A13" s="33"/>
      <c r="B13" s="34"/>
      <c r="C13" s="34"/>
      <c r="D13" s="34"/>
      <c r="E13" s="34"/>
      <c r="F13" s="34"/>
      <c r="G13" s="34"/>
      <c r="H13" s="34"/>
      <c r="I13" s="34"/>
      <c r="J13" s="34"/>
      <c r="K13" s="35"/>
    </row>
    <row r="14" spans="1:11" x14ac:dyDescent="0.3">
      <c r="A14" s="33"/>
      <c r="B14" s="34"/>
      <c r="C14" s="34"/>
      <c r="D14" s="34"/>
      <c r="E14" s="34"/>
      <c r="F14" s="34"/>
      <c r="G14" s="34"/>
      <c r="H14" s="34"/>
      <c r="I14" s="34"/>
      <c r="J14" s="34"/>
      <c r="K14" s="35"/>
    </row>
    <row r="15" spans="1:11" x14ac:dyDescent="0.3">
      <c r="A15" s="33"/>
      <c r="B15" s="34"/>
      <c r="C15" s="34"/>
      <c r="D15" s="34"/>
      <c r="E15" s="34"/>
      <c r="F15" s="34"/>
      <c r="G15" s="34"/>
      <c r="H15" s="34"/>
      <c r="I15" s="34"/>
      <c r="J15" s="34"/>
      <c r="K15" s="35"/>
    </row>
    <row r="16" spans="1:11" x14ac:dyDescent="0.3">
      <c r="A16" s="33"/>
      <c r="B16" s="34"/>
      <c r="C16" s="34"/>
      <c r="D16" s="34"/>
      <c r="E16" s="34"/>
      <c r="F16" s="34"/>
      <c r="G16" s="34"/>
      <c r="H16" s="34"/>
      <c r="I16" s="34"/>
      <c r="J16" s="34"/>
      <c r="K16" s="35"/>
    </row>
    <row r="17" spans="1:11" x14ac:dyDescent="0.3">
      <c r="A17" s="33"/>
      <c r="B17" s="34"/>
      <c r="C17" s="34"/>
      <c r="D17" s="34"/>
      <c r="E17" s="34"/>
      <c r="F17" s="34"/>
      <c r="G17" s="34"/>
      <c r="H17" s="34"/>
      <c r="I17" s="34"/>
      <c r="J17" s="34"/>
      <c r="K17" s="35"/>
    </row>
    <row r="18" spans="1:11" x14ac:dyDescent="0.3">
      <c r="A18" s="33"/>
      <c r="B18" s="34"/>
      <c r="C18" s="34"/>
      <c r="D18" s="34"/>
      <c r="E18" s="34"/>
      <c r="F18" s="34"/>
      <c r="G18" s="34"/>
      <c r="H18" s="34"/>
      <c r="I18" s="34"/>
      <c r="J18" s="34"/>
      <c r="K18" s="35"/>
    </row>
    <row r="19" spans="1:11" x14ac:dyDescent="0.3">
      <c r="A19" s="33"/>
      <c r="B19" s="34"/>
      <c r="C19" s="34"/>
      <c r="D19" s="34"/>
      <c r="E19" s="34"/>
      <c r="F19" s="34"/>
      <c r="G19" s="34"/>
      <c r="H19" s="34"/>
      <c r="I19" s="34"/>
      <c r="J19" s="34"/>
      <c r="K19" s="35"/>
    </row>
    <row r="20" spans="1:11" x14ac:dyDescent="0.3">
      <c r="A20" s="33"/>
      <c r="B20" s="34"/>
      <c r="C20" s="34"/>
      <c r="D20" s="34"/>
      <c r="E20" s="34"/>
      <c r="F20" s="34"/>
      <c r="G20" s="34"/>
      <c r="H20" s="34"/>
      <c r="I20" s="34"/>
      <c r="J20" s="34"/>
      <c r="K20" s="35"/>
    </row>
    <row r="21" spans="1:11" x14ac:dyDescent="0.3">
      <c r="A21" s="33"/>
      <c r="B21" s="34"/>
      <c r="C21" s="34"/>
      <c r="D21" s="34"/>
      <c r="E21" s="34"/>
      <c r="F21" s="34"/>
      <c r="G21" s="34"/>
      <c r="H21" s="34"/>
      <c r="I21" s="34"/>
      <c r="J21" s="34"/>
      <c r="K21" s="35"/>
    </row>
    <row r="22" spans="1:11" x14ac:dyDescent="0.3">
      <c r="A22" s="33"/>
      <c r="B22" s="34"/>
      <c r="C22" s="34"/>
      <c r="D22" s="34"/>
      <c r="E22" s="34"/>
      <c r="F22" s="34"/>
      <c r="G22" s="34"/>
      <c r="H22" s="34"/>
      <c r="I22" s="34"/>
      <c r="J22" s="34"/>
      <c r="K22" s="35"/>
    </row>
    <row r="23" spans="1:11" x14ac:dyDescent="0.3">
      <c r="A23" s="33"/>
      <c r="B23" s="34"/>
      <c r="C23" s="34"/>
      <c r="D23" s="34"/>
      <c r="E23" s="34"/>
      <c r="F23" s="34"/>
      <c r="G23" s="34"/>
      <c r="H23" s="34"/>
      <c r="I23" s="34"/>
      <c r="J23" s="34"/>
      <c r="K23" s="35"/>
    </row>
    <row r="24" spans="1:11" x14ac:dyDescent="0.3">
      <c r="A24" s="33"/>
      <c r="B24" s="34"/>
      <c r="C24" s="34"/>
      <c r="D24" s="34"/>
      <c r="E24" s="34"/>
      <c r="F24" s="34"/>
      <c r="G24" s="34"/>
      <c r="H24" s="34"/>
      <c r="I24" s="34"/>
      <c r="J24" s="34"/>
      <c r="K24" s="35"/>
    </row>
    <row r="25" spans="1:11" x14ac:dyDescent="0.3">
      <c r="A25" s="33"/>
      <c r="B25" s="34"/>
      <c r="C25" s="34"/>
      <c r="D25" s="34"/>
      <c r="E25" s="34"/>
      <c r="F25" s="34"/>
      <c r="G25" s="34"/>
      <c r="H25" s="34"/>
      <c r="I25" s="34"/>
      <c r="J25" s="34"/>
      <c r="K25" s="35"/>
    </row>
    <row r="26" spans="1:11" x14ac:dyDescent="0.3">
      <c r="A26" s="33"/>
      <c r="B26" s="34"/>
      <c r="C26" s="34"/>
      <c r="D26" s="34"/>
      <c r="E26" s="34"/>
      <c r="F26" s="34"/>
      <c r="G26" s="34"/>
      <c r="H26" s="34"/>
      <c r="I26" s="34"/>
      <c r="J26" s="34"/>
      <c r="K26" s="35"/>
    </row>
    <row r="27" spans="1:11" x14ac:dyDescent="0.3">
      <c r="A27" s="33"/>
      <c r="B27" s="34"/>
      <c r="C27" s="34"/>
      <c r="D27" s="34"/>
      <c r="E27" s="34"/>
      <c r="F27" s="34"/>
      <c r="G27" s="34"/>
      <c r="H27" s="34"/>
      <c r="I27" s="34"/>
      <c r="J27" s="34"/>
      <c r="K27" s="35"/>
    </row>
    <row r="28" spans="1:11" x14ac:dyDescent="0.3">
      <c r="A28" s="33"/>
      <c r="B28" s="34"/>
      <c r="C28" s="34"/>
      <c r="D28" s="34"/>
      <c r="E28" s="34"/>
      <c r="F28" s="34"/>
      <c r="G28" s="34"/>
      <c r="H28" s="34"/>
      <c r="I28" s="34"/>
      <c r="J28" s="34"/>
      <c r="K28" s="35"/>
    </row>
    <row r="29" spans="1:11" x14ac:dyDescent="0.3">
      <c r="A29" s="33"/>
      <c r="B29" s="34"/>
      <c r="C29" s="34"/>
      <c r="D29" s="34"/>
      <c r="E29" s="34"/>
      <c r="F29" s="34"/>
      <c r="G29" s="34"/>
      <c r="H29" s="34"/>
      <c r="I29" s="34"/>
      <c r="J29" s="34"/>
      <c r="K29" s="35"/>
    </row>
    <row r="30" spans="1:11" x14ac:dyDescent="0.3">
      <c r="A30" s="33"/>
      <c r="B30" s="34"/>
      <c r="C30" s="34"/>
      <c r="D30" s="34"/>
      <c r="E30" s="34"/>
      <c r="F30" s="34"/>
      <c r="G30" s="34"/>
      <c r="H30" s="34"/>
      <c r="I30" s="34"/>
      <c r="J30" s="34"/>
      <c r="K30" s="35"/>
    </row>
    <row r="31" spans="1:11" x14ac:dyDescent="0.3">
      <c r="A31" s="36"/>
      <c r="B31" s="37"/>
      <c r="C31" s="37"/>
      <c r="D31" s="37"/>
      <c r="E31" s="37"/>
      <c r="F31" s="37"/>
      <c r="G31" s="37"/>
      <c r="H31" s="37"/>
      <c r="I31" s="37"/>
      <c r="J31" s="37"/>
      <c r="K31" s="38"/>
    </row>
  </sheetData>
  <protectedRanges>
    <protectedRange sqref="A5 A2" name="TOWS cíle"/>
    <protectedRange sqref="B2" name="TOWS cíle_3"/>
    <protectedRange sqref="B5" name="TOWS cíle_4"/>
    <protectedRange sqref="A3" name="TOWS cíle_5"/>
    <protectedRange sqref="B3" name="TOWS cíle_6"/>
    <protectedRange sqref="A4" name="TOWS cíle_7"/>
  </protectedRanges>
  <phoneticPr fontId="17" type="noConversion"/>
  <pageMargins left="0.7" right="0.7" top="0.78740157499999996" bottom="0.78740157499999996" header="0.3" footer="0.3"/>
  <pageSetup paperSize="9" scale="37"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0F3AA-9CFD-47A3-9E1A-6C1D5C8B11D0}">
  <dimension ref="B1:C40"/>
  <sheetViews>
    <sheetView topLeftCell="A8" workbookViewId="0">
      <selection activeCell="C1" sqref="C1:C38"/>
    </sheetView>
  </sheetViews>
  <sheetFormatPr defaultRowHeight="14.4" x14ac:dyDescent="0.3"/>
  <cols>
    <col min="2" max="2" width="18.5546875" bestFit="1" customWidth="1"/>
  </cols>
  <sheetData>
    <row r="1" spans="2:3" x14ac:dyDescent="0.3">
      <c r="B1" t="str">
        <f>VLOOKUP(C1,'5. Faktory prostředí'!A$2:F$40,6,FALSE)</f>
        <v>S1</v>
      </c>
      <c r="C1" s="3" t="str">
        <f>'5. Faktory prostředí'!A3</f>
        <v>Prospěch ze zdravotního povědomí</v>
      </c>
    </row>
    <row r="2" spans="2:3" x14ac:dyDescent="0.3">
      <c r="B2" t="str">
        <f>VLOOKUP(C2,'5. Faktory prostředí'!A$2:F$40,6,FALSE)</f>
        <v>S2</v>
      </c>
      <c r="C2" s="3" t="str">
        <f>'5. Faktory prostředí'!A4</f>
        <v>Ekologicy založená firma</v>
      </c>
    </row>
    <row r="3" spans="2:3" x14ac:dyDescent="0.3">
      <c r="B3" t="str">
        <f>VLOOKUP(C3,'5. Faktory prostředí'!A$2:F$40,6,FALSE)</f>
        <v>S3</v>
      </c>
      <c r="C3" s="3" t="str">
        <f>'5. Faktory prostředí'!A5</f>
        <v>Schopnost rychlé reakce na legislativu</v>
      </c>
    </row>
    <row r="4" spans="2:3" x14ac:dyDescent="0.3">
      <c r="B4" t="str">
        <f>VLOOKUP(C4,'5. Faktory prostředí'!A$2:F$40,6,FALSE)</f>
        <v>T1</v>
      </c>
      <c r="C4" s="3" t="str">
        <f>'5. Faktory prostředí'!A6</f>
        <v>Přísné pravidla o UR</v>
      </c>
    </row>
    <row r="5" spans="2:3" x14ac:dyDescent="0.3">
      <c r="B5" t="str">
        <f>VLOOKUP(C5,'5. Faktory prostředí'!A$2:F$40,6,FALSE)</f>
        <v>S4</v>
      </c>
      <c r="C5" s="3" t="str">
        <f>'5. Faktory prostředí'!A7</f>
        <v>Jednotným marketingovým přístupem lze přílákat nové zákaznky.</v>
      </c>
    </row>
    <row r="6" spans="2:3" x14ac:dyDescent="0.3">
      <c r="B6" t="str">
        <f>VLOOKUP(C6,'5. Faktory prostředí'!A$2:F$40,6,FALSE)</f>
        <v>T2</v>
      </c>
      <c r="C6" s="3" t="str">
        <f>'5. Faktory prostředí'!A8</f>
        <v>Překážky pro vstup globalizace</v>
      </c>
    </row>
    <row r="7" spans="2:3" x14ac:dyDescent="0.3">
      <c r="B7" t="str">
        <f>VLOOKUP(C7,'5. Faktory prostředí'!A$2:F$40,6,FALSE)</f>
        <v>T3</v>
      </c>
      <c r="C7" s="3" t="str">
        <f>'5. Faktory prostředí'!A9</f>
        <v>Konkurence ze strany malých firem</v>
      </c>
    </row>
    <row r="8" spans="2:3" x14ac:dyDescent="0.3">
      <c r="B8" t="str">
        <f>VLOOKUP(C8,'5. Faktory prostředí'!A$2:F$40,6,FALSE)</f>
        <v>T4</v>
      </c>
      <c r="C8" s="3" t="str">
        <f>'5. Faktory prostředí'!A10</f>
        <v>Konkurence z innovace mezinárodních velých firem</v>
      </c>
    </row>
    <row r="9" spans="2:3" x14ac:dyDescent="0.3">
      <c r="B9" t="str">
        <f>VLOOKUP(C9,'5. Faktory prostředí'!A$2:F$40,6,FALSE)</f>
        <v>T5</v>
      </c>
      <c r="C9" s="3" t="str">
        <f>'5. Faktory prostředí'!A11</f>
        <v>Existují silní konkurenti s větším počtem prodejen</v>
      </c>
    </row>
    <row r="10" spans="2:3" x14ac:dyDescent="0.3">
      <c r="B10" t="str">
        <f>VLOOKUP(C10,'5. Faktory prostředí'!A$2:F$40,6,FALSE)</f>
        <v>S5</v>
      </c>
      <c r="C10" s="3" t="str">
        <f>'5. Faktory prostředí'!A12</f>
        <v>Ryzí a kvalitnější produkty</v>
      </c>
    </row>
    <row r="11" spans="2:3" x14ac:dyDescent="0.3">
      <c r="B11" t="str">
        <f>VLOOKUP(C11,'5. Faktory prostředí'!A$2:F$40,6,FALSE)</f>
        <v>O1</v>
      </c>
      <c r="C11" s="3" t="str">
        <f>'5. Faktory prostředí'!A13</f>
        <v>Nové velké vstupující nedokážou vstoupit rychle</v>
      </c>
    </row>
    <row r="12" spans="2:3" x14ac:dyDescent="0.3">
      <c r="B12" t="str">
        <f>VLOOKUP(C12,'5. Faktory prostředí'!A$2:F$40,6,FALSE)</f>
        <v>T6</v>
      </c>
      <c r="C12" s="3" t="str">
        <f>'5. Faktory prostředí'!A14</f>
        <v>Rostoucí atraktivita odvětví přiláká nové hráče</v>
      </c>
    </row>
    <row r="13" spans="2:3" x14ac:dyDescent="0.3">
      <c r="B13" t="str">
        <f>VLOOKUP(C13,'5. Faktory prostředí'!A$2:F$40,6,FALSE)</f>
        <v>S6</v>
      </c>
      <c r="C13" s="3" t="str">
        <f>'5. Faktory prostředí'!A15</f>
        <v>Schopnost řízení dodávek</v>
      </c>
    </row>
    <row r="14" spans="2:3" x14ac:dyDescent="0.3">
      <c r="B14" t="str">
        <f>VLOOKUP(C14,'5. Faktory prostředí'!A$2:F$40,6,FALSE)</f>
        <v>O2</v>
      </c>
      <c r="C14" s="3" t="str">
        <f>'5. Faktory prostředí'!A16</f>
        <v>Může oslovit populaci se zájimem o  alternativní medicínu</v>
      </c>
    </row>
    <row r="15" spans="2:3" x14ac:dyDescent="0.3">
      <c r="B15" t="str">
        <f>VLOOKUP(C15,'5. Faktory prostředí'!A$2:F$40,6,FALSE)</f>
        <v>W1</v>
      </c>
      <c r="C15" s="3" t="str">
        <f>'5. Faktory prostředí'!A17</f>
        <v>Konkurence cenou</v>
      </c>
    </row>
    <row r="16" spans="2:3" x14ac:dyDescent="0.3">
      <c r="B16" t="str">
        <f>VLOOKUP(C16,'5. Faktory prostředí'!A$2:F$40,6,FALSE)</f>
        <v>S7</v>
      </c>
      <c r="C16" s="3" t="str">
        <f>'5. Faktory prostředí'!A18</f>
        <v xml:space="preserve">Jedinečný systém školení </v>
      </c>
    </row>
    <row r="17" spans="2:3" x14ac:dyDescent="0.3">
      <c r="B17" t="str">
        <f>VLOOKUP(C17,'5. Faktory prostředí'!A$2:F$40,6,FALSE)</f>
        <v>S8</v>
      </c>
      <c r="C17" s="3" t="str">
        <f>'5. Faktory prostředí'!A19</f>
        <v>Vysoká kvalita zaměstnamců</v>
      </c>
    </row>
    <row r="18" spans="2:3" x14ac:dyDescent="0.3">
      <c r="B18" t="str">
        <f>VLOOKUP(C18,'5. Faktory prostředí'!A$2:F$40,6,FALSE)</f>
        <v>W2</v>
      </c>
      <c r="C18" s="3" t="str">
        <f>'5. Faktory prostředí'!A20</f>
        <v>Omezené kamenné prodejny</v>
      </c>
    </row>
    <row r="19" spans="2:3" x14ac:dyDescent="0.3">
      <c r="B19" t="str">
        <f>VLOOKUP(C19,'5. Faktory prostředí'!A$2:F$40,6,FALSE)</f>
        <v>S9</v>
      </c>
      <c r="C19" s="3" t="str">
        <f>'5. Faktory prostředí'!A21</f>
        <v>Dobře fungující e-shop</v>
      </c>
    </row>
    <row r="20" spans="2:3" x14ac:dyDescent="0.3">
      <c r="B20" t="str">
        <f>VLOOKUP(C20,'5. Faktory prostředí'!A$2:F$40,6,FALSE)</f>
        <v>S10</v>
      </c>
      <c r="C20" s="3" t="str">
        <f>'5. Faktory prostředí'!A22</f>
        <v>Důraz na kvalitní tuzemské bio certifikace</v>
      </c>
    </row>
    <row r="21" spans="2:3" x14ac:dyDescent="0.3">
      <c r="B21" t="str">
        <f>VLOOKUP(C21,'5. Faktory prostředí'!A$2:F$40,6,FALSE)</f>
        <v>W3</v>
      </c>
      <c r="C21" s="3" t="str">
        <f>'5. Faktory prostředí'!A23</f>
        <v>Chybí mezinárodní certifikace</v>
      </c>
    </row>
    <row r="22" spans="2:3" x14ac:dyDescent="0.3">
      <c r="B22" t="str">
        <f>VLOOKUP(C22,'5. Faktory prostředí'!A$2:F$40,6,FALSE)</f>
        <v>W4</v>
      </c>
      <c r="C22" s="3" t="str">
        <f>'5. Faktory prostředí'!A24</f>
        <v>Řízení partnerství</v>
      </c>
    </row>
    <row r="23" spans="2:3" x14ac:dyDescent="0.3">
      <c r="B23" t="str">
        <f>VLOOKUP(C23,'5. Faktory prostředí'!A$2:F$40,6,FALSE)</f>
        <v>O3</v>
      </c>
      <c r="C23" s="3" t="str">
        <f>'5. Faktory prostředí'!A25</f>
        <v xml:space="preserve">Zavedení více standardů a regulací slov „přírodní“ a „bio“ </v>
      </c>
    </row>
    <row r="24" spans="2:3" x14ac:dyDescent="0.3">
      <c r="B24" t="str">
        <f>VLOOKUP(C24,'5. Faktory prostředí'!A$2:F$40,6,FALSE)</f>
        <v>T7</v>
      </c>
      <c r="C24" s="3" t="str">
        <f>'5. Faktory prostředí'!A26</f>
        <v>Firma by ztratila  svou odlišnost kvůli zavedení standardů</v>
      </c>
    </row>
    <row r="25" spans="2:3" x14ac:dyDescent="0.3">
      <c r="B25" t="str">
        <f>VLOOKUP(C25,'5. Faktory prostředí'!A$2:F$40,6,FALSE)</f>
        <v>T8</v>
      </c>
      <c r="C25" s="3" t="str">
        <f>'5. Faktory prostředí'!A27</f>
        <v>Vysoká  vyjednávací síla zákazníků</v>
      </c>
    </row>
    <row r="26" spans="2:3" x14ac:dyDescent="0.3">
      <c r="B26" t="str">
        <f>VLOOKUP(C26,'5. Faktory prostředí'!A$2:F$40,6,FALSE)</f>
        <v>O4</v>
      </c>
      <c r="C26" s="3" t="str">
        <f>'5. Faktory prostředí'!A28</f>
        <v>Získání zdroje z EU</v>
      </c>
    </row>
    <row r="27" spans="2:3" x14ac:dyDescent="0.3">
      <c r="B27" t="e">
        <f>VLOOKUP(C27,'5. Faktory prostředí'!A$2:F$40,6,FALSE)</f>
        <v>#N/A</v>
      </c>
      <c r="C27" s="3">
        <f>'5. Faktory prostředí'!A29</f>
        <v>0</v>
      </c>
    </row>
    <row r="28" spans="2:3" x14ac:dyDescent="0.3">
      <c r="B28" t="e">
        <f>VLOOKUP(C28,'5. Faktory prostředí'!A$2:F$40,6,FALSE)</f>
        <v>#N/A</v>
      </c>
      <c r="C28" s="3">
        <f>'5. Faktory prostředí'!A30</f>
        <v>0</v>
      </c>
    </row>
    <row r="29" spans="2:3" x14ac:dyDescent="0.3">
      <c r="B29" t="e">
        <f>VLOOKUP(C29,'5. Faktory prostředí'!A$2:F$40,6,FALSE)</f>
        <v>#N/A</v>
      </c>
      <c r="C29" s="3">
        <f>'5. Faktory prostředí'!A31</f>
        <v>0</v>
      </c>
    </row>
    <row r="30" spans="2:3" x14ac:dyDescent="0.3">
      <c r="B30" t="e">
        <f>VLOOKUP(C30,'5. Faktory prostředí'!A$2:F$40,6,FALSE)</f>
        <v>#N/A</v>
      </c>
      <c r="C30" s="3">
        <f>'5. Faktory prostředí'!A32</f>
        <v>0</v>
      </c>
    </row>
    <row r="31" spans="2:3" x14ac:dyDescent="0.3">
      <c r="B31" t="e">
        <f>VLOOKUP(C31,'5. Faktory prostředí'!A$2:F$40,6,FALSE)</f>
        <v>#N/A</v>
      </c>
      <c r="C31" s="3">
        <f>'5. Faktory prostředí'!A33</f>
        <v>0</v>
      </c>
    </row>
    <row r="32" spans="2:3" x14ac:dyDescent="0.3">
      <c r="B32" t="e">
        <f>VLOOKUP(C32,'5. Faktory prostředí'!A$2:F$40,6,FALSE)</f>
        <v>#N/A</v>
      </c>
      <c r="C32" s="3">
        <f>'5. Faktory prostředí'!A34</f>
        <v>0</v>
      </c>
    </row>
    <row r="33" spans="2:3" x14ac:dyDescent="0.3">
      <c r="B33" t="e">
        <f>VLOOKUP(C33,'5. Faktory prostředí'!A$2:F$40,6,FALSE)</f>
        <v>#N/A</v>
      </c>
      <c r="C33" s="3">
        <f>'5. Faktory prostředí'!A35</f>
        <v>0</v>
      </c>
    </row>
    <row r="34" spans="2:3" x14ac:dyDescent="0.3">
      <c r="B34" t="e">
        <f>VLOOKUP(C34,'5. Faktory prostředí'!A$2:F$40,6,FALSE)</f>
        <v>#N/A</v>
      </c>
      <c r="C34" s="3">
        <f>'5. Faktory prostředí'!A36</f>
        <v>0</v>
      </c>
    </row>
    <row r="35" spans="2:3" x14ac:dyDescent="0.3">
      <c r="B35" t="e">
        <f>VLOOKUP(C35,'5. Faktory prostředí'!A$2:F$40,6,FALSE)</f>
        <v>#N/A</v>
      </c>
      <c r="C35" s="3">
        <f>'5. Faktory prostředí'!A37</f>
        <v>0</v>
      </c>
    </row>
    <row r="36" spans="2:3" x14ac:dyDescent="0.3">
      <c r="B36" t="e">
        <f>VLOOKUP(C36,'5. Faktory prostředí'!A$2:F$40,6,FALSE)</f>
        <v>#N/A</v>
      </c>
      <c r="C36" s="3">
        <f>'5. Faktory prostředí'!A38</f>
        <v>0</v>
      </c>
    </row>
    <row r="37" spans="2:3" x14ac:dyDescent="0.3">
      <c r="B37" t="e">
        <f>VLOOKUP(C37,'5. Faktory prostředí'!A$2:F$40,6,FALSE)</f>
        <v>#N/A</v>
      </c>
      <c r="C37" s="3">
        <f>'5. Faktory prostředí'!A39</f>
        <v>0</v>
      </c>
    </row>
    <row r="38" spans="2:3" x14ac:dyDescent="0.3">
      <c r="B38" t="e">
        <f>VLOOKUP(C38,'5. Faktory prostředí'!A$2:F$40,6,FALSE)</f>
        <v>#N/A</v>
      </c>
      <c r="C38" s="3">
        <f>'5. Faktory prostředí'!A40</f>
        <v>0</v>
      </c>
    </row>
    <row r="39" spans="2:3" x14ac:dyDescent="0.3">
      <c r="B39" t="e">
        <f>VLOOKUP(C39,'5. Faktory prostředí'!A$2:F$40,6,FALSE)</f>
        <v>#N/A</v>
      </c>
      <c r="C39" s="7" t="s">
        <v>46</v>
      </c>
    </row>
    <row r="40" spans="2:3" x14ac:dyDescent="0.3">
      <c r="B40" t="e">
        <f>VLOOKUP(C40,'5. Faktory prostředí'!A$2:F$40,6,FALSE)</f>
        <v>#N/A</v>
      </c>
      <c r="C40" s="7" t="s">
        <v>108</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E6EC-7862-484B-B213-5517E81DC36B}">
  <dimension ref="A1:E4"/>
  <sheetViews>
    <sheetView workbookViewId="0">
      <selection activeCell="E4" sqref="E4"/>
    </sheetView>
  </sheetViews>
  <sheetFormatPr defaultRowHeight="14.4" x14ac:dyDescent="0.3"/>
  <sheetData>
    <row r="1" spans="1:5" x14ac:dyDescent="0.3">
      <c r="A1">
        <v>1</v>
      </c>
      <c r="E1">
        <v>0</v>
      </c>
    </row>
    <row r="2" spans="1:5" x14ac:dyDescent="0.3">
      <c r="A2">
        <v>2</v>
      </c>
      <c r="E2">
        <v>0.5</v>
      </c>
    </row>
    <row r="3" spans="1:5" x14ac:dyDescent="0.3">
      <c r="A3">
        <v>3</v>
      </c>
      <c r="E3">
        <v>1</v>
      </c>
    </row>
    <row r="4" spans="1:5" x14ac:dyDescent="0.3">
      <c r="A4">
        <v>4</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BE4C7-862A-4CD4-82E0-819CE5E032C2}">
  <sheetPr>
    <tabColor theme="7" tint="-0.249977111117893"/>
  </sheetPr>
  <dimension ref="A1:F18"/>
  <sheetViews>
    <sheetView zoomScale="110" zoomScaleNormal="110" workbookViewId="0">
      <selection activeCell="B16" sqref="B16"/>
    </sheetView>
  </sheetViews>
  <sheetFormatPr defaultRowHeight="14.4" x14ac:dyDescent="0.3"/>
  <cols>
    <col min="1" max="1" width="121.6640625" customWidth="1"/>
    <col min="2" max="2" width="12" customWidth="1"/>
    <col min="6" max="6" width="11.33203125" customWidth="1"/>
  </cols>
  <sheetData>
    <row r="1" spans="1:6" ht="30.6" customHeight="1" x14ac:dyDescent="0.3">
      <c r="A1" s="91" t="s">
        <v>125</v>
      </c>
      <c r="B1" s="201" t="s">
        <v>118</v>
      </c>
      <c r="C1" s="202"/>
      <c r="D1" s="202"/>
      <c r="E1" s="202"/>
      <c r="F1" s="85" t="s">
        <v>119</v>
      </c>
    </row>
    <row r="2" spans="1:6" ht="34.799999999999997" customHeight="1" thickBot="1" x14ac:dyDescent="0.35">
      <c r="A2" s="92" t="s">
        <v>131</v>
      </c>
      <c r="B2" s="82" t="s">
        <v>120</v>
      </c>
      <c r="C2" s="81">
        <f>C5+C8+C11+C14+C16+C18</f>
        <v>5962</v>
      </c>
      <c r="D2" s="82" t="s">
        <v>121</v>
      </c>
      <c r="E2" s="81">
        <f>-C2+10000</f>
        <v>4038</v>
      </c>
      <c r="F2" s="81">
        <f>C3+C6+C9+C12+C15+C17+C19</f>
        <v>0</v>
      </c>
    </row>
    <row r="3" spans="1:6" ht="27.75" customHeight="1" x14ac:dyDescent="0.3">
      <c r="A3" s="204" t="s">
        <v>130</v>
      </c>
      <c r="B3" s="203" t="s">
        <v>122</v>
      </c>
      <c r="C3" s="150"/>
      <c r="D3" s="81"/>
      <c r="E3" s="81"/>
      <c r="F3" s="81"/>
    </row>
    <row r="4" spans="1:6" ht="15" thickBot="1" x14ac:dyDescent="0.35">
      <c r="A4" s="205"/>
      <c r="B4" s="149"/>
      <c r="C4" s="150"/>
      <c r="D4" s="81"/>
      <c r="E4" s="81"/>
      <c r="F4" s="81"/>
    </row>
    <row r="5" spans="1:6" ht="187.8" thickBot="1" x14ac:dyDescent="0.35">
      <c r="A5" s="89" t="s">
        <v>425</v>
      </c>
      <c r="B5" s="82" t="s">
        <v>123</v>
      </c>
      <c r="C5" s="83">
        <f>LEN(A5)</f>
        <v>831</v>
      </c>
      <c r="D5" s="81"/>
      <c r="E5" s="81"/>
      <c r="F5" s="81"/>
    </row>
    <row r="6" spans="1:6" ht="31.5" customHeight="1" x14ac:dyDescent="0.3">
      <c r="A6" s="86" t="s">
        <v>127</v>
      </c>
      <c r="B6" s="203" t="s">
        <v>170</v>
      </c>
      <c r="C6" s="150"/>
      <c r="D6" s="81"/>
      <c r="E6" s="81"/>
      <c r="F6" s="81"/>
    </row>
    <row r="7" spans="1:6" ht="39.75" customHeight="1" thickBot="1" x14ac:dyDescent="0.35">
      <c r="A7" s="87" t="s">
        <v>135</v>
      </c>
      <c r="B7" s="149"/>
      <c r="C7" s="150"/>
      <c r="D7" s="81"/>
      <c r="E7" s="81"/>
      <c r="F7" s="81"/>
    </row>
    <row r="8" spans="1:6" ht="101.4" thickBot="1" x14ac:dyDescent="0.35">
      <c r="A8" s="131" t="s">
        <v>427</v>
      </c>
      <c r="B8" s="82" t="s">
        <v>123</v>
      </c>
      <c r="C8" s="83">
        <f>LEN(A8)</f>
        <v>528</v>
      </c>
      <c r="D8" s="81"/>
      <c r="E8" s="81"/>
      <c r="F8" s="81"/>
    </row>
    <row r="9" spans="1:6" ht="28.8" x14ac:dyDescent="0.3">
      <c r="A9" s="132" t="s">
        <v>136</v>
      </c>
      <c r="B9" s="149" t="s">
        <v>126</v>
      </c>
      <c r="C9" s="150"/>
      <c r="D9" s="81"/>
      <c r="E9" s="81"/>
      <c r="F9" s="81"/>
    </row>
    <row r="10" spans="1:6" ht="29.4" thickBot="1" x14ac:dyDescent="0.35">
      <c r="A10" s="133" t="s">
        <v>137</v>
      </c>
      <c r="B10" s="149"/>
      <c r="C10" s="150"/>
      <c r="D10" s="81"/>
      <c r="E10" s="81"/>
      <c r="F10" s="81"/>
    </row>
    <row r="11" spans="1:6" ht="216.6" thickBot="1" x14ac:dyDescent="0.35">
      <c r="A11" s="131" t="s">
        <v>426</v>
      </c>
      <c r="B11" s="82" t="s">
        <v>123</v>
      </c>
      <c r="C11" s="83">
        <f>LEN(A11)</f>
        <v>925</v>
      </c>
      <c r="D11" s="81"/>
      <c r="E11" s="81"/>
      <c r="F11" s="81"/>
    </row>
    <row r="12" spans="1:6" ht="20.25" customHeight="1" x14ac:dyDescent="0.3">
      <c r="A12" s="86" t="s">
        <v>128</v>
      </c>
      <c r="B12" s="203" t="s">
        <v>126</v>
      </c>
      <c r="C12" s="150"/>
      <c r="D12" s="81"/>
      <c r="E12" s="81"/>
      <c r="F12" s="81"/>
    </row>
    <row r="13" spans="1:6" ht="36" customHeight="1" thickBot="1" x14ac:dyDescent="0.35">
      <c r="A13" s="87" t="s">
        <v>129</v>
      </c>
      <c r="B13" s="149"/>
      <c r="C13" s="150"/>
      <c r="D13" s="81"/>
      <c r="E13" s="81"/>
      <c r="F13" s="81"/>
    </row>
    <row r="14" spans="1:6" ht="72.599999999999994" thickBot="1" x14ac:dyDescent="0.35">
      <c r="A14" s="131" t="s">
        <v>423</v>
      </c>
      <c r="B14" s="82" t="s">
        <v>123</v>
      </c>
      <c r="C14" s="83">
        <f>LEN(A14)</f>
        <v>405</v>
      </c>
      <c r="D14" s="81"/>
      <c r="E14" s="81"/>
      <c r="F14" s="81"/>
    </row>
    <row r="15" spans="1:6" ht="43.8" thickBot="1" x14ac:dyDescent="0.35">
      <c r="A15" s="88" t="s">
        <v>133</v>
      </c>
      <c r="B15" s="90" t="s">
        <v>170</v>
      </c>
      <c r="C15" s="83"/>
      <c r="D15" s="81"/>
      <c r="E15" s="81"/>
      <c r="F15" s="81"/>
    </row>
    <row r="16" spans="1:6" ht="274.2" thickBot="1" x14ac:dyDescent="0.35">
      <c r="A16" s="131" t="s">
        <v>428</v>
      </c>
      <c r="B16" s="82" t="s">
        <v>123</v>
      </c>
      <c r="C16" s="83">
        <f>LEN(A16)</f>
        <v>1240</v>
      </c>
      <c r="D16" s="81"/>
      <c r="E16" s="81"/>
      <c r="F16" s="81"/>
    </row>
    <row r="17" spans="1:6" ht="48.75" customHeight="1" thickBot="1" x14ac:dyDescent="0.35">
      <c r="A17" s="88" t="s">
        <v>134</v>
      </c>
      <c r="B17" s="90" t="s">
        <v>170</v>
      </c>
      <c r="C17" s="83"/>
      <c r="D17" s="81"/>
      <c r="E17" s="81"/>
      <c r="F17" s="81"/>
    </row>
    <row r="18" spans="1:6" ht="405.6" customHeight="1" x14ac:dyDescent="0.3">
      <c r="A18" s="131" t="s">
        <v>424</v>
      </c>
      <c r="B18" s="82" t="s">
        <v>123</v>
      </c>
      <c r="C18" s="83">
        <f>LEN(A18)</f>
        <v>2033</v>
      </c>
      <c r="D18" s="81"/>
      <c r="E18" s="81"/>
      <c r="F18" s="81"/>
    </row>
  </sheetData>
  <mergeCells count="10">
    <mergeCell ref="A3:A4"/>
    <mergeCell ref="B9:B10"/>
    <mergeCell ref="C9:C10"/>
    <mergeCell ref="B12:B13"/>
    <mergeCell ref="C12:C13"/>
    <mergeCell ref="B1:E1"/>
    <mergeCell ref="B3:B4"/>
    <mergeCell ref="C3:C4"/>
    <mergeCell ref="B6:B7"/>
    <mergeCell ref="C6:C7"/>
  </mergeCells>
  <pageMargins left="0.7" right="0.7" top="0.78740157499999996" bottom="0.78740157499999996" header="0.3" footer="0.3"/>
  <pageSetup paperSize="9" orientation="portrait" horizontalDpi="4294967294"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728BA-CCEB-41E9-BA9A-2BA3B76B90DA}">
  <dimension ref="B2:M5"/>
  <sheetViews>
    <sheetView workbookViewId="0">
      <selection activeCell="E18" sqref="E18"/>
    </sheetView>
  </sheetViews>
  <sheetFormatPr defaultRowHeight="14.4" x14ac:dyDescent="0.3"/>
  <cols>
    <col min="2" max="2" width="18" customWidth="1"/>
    <col min="4" max="4" width="7.109375" customWidth="1"/>
    <col min="5" max="5" width="12.21875" customWidth="1"/>
    <col min="6" max="6" width="14" customWidth="1"/>
    <col min="10" max="10" width="10.21875" customWidth="1"/>
    <col min="11" max="11" width="14.44140625" customWidth="1"/>
    <col min="12" max="12" width="12.44140625" customWidth="1"/>
  </cols>
  <sheetData>
    <row r="2" spans="2:13" s="96" customFormat="1" ht="45" customHeight="1" x14ac:dyDescent="0.3">
      <c r="C2" s="96" t="s">
        <v>172</v>
      </c>
      <c r="D2" s="96" t="s">
        <v>181</v>
      </c>
      <c r="E2" s="96" t="s">
        <v>173</v>
      </c>
      <c r="F2" s="96" t="s">
        <v>174</v>
      </c>
      <c r="G2" s="96" t="s">
        <v>175</v>
      </c>
      <c r="H2" s="96" t="s">
        <v>180</v>
      </c>
      <c r="I2" s="96" t="s">
        <v>184</v>
      </c>
      <c r="J2" s="96" t="s">
        <v>176</v>
      </c>
      <c r="K2" s="96" t="s">
        <v>177</v>
      </c>
      <c r="L2" s="96" t="s">
        <v>178</v>
      </c>
      <c r="M2" s="96" t="s">
        <v>179</v>
      </c>
    </row>
    <row r="3" spans="2:13" x14ac:dyDescent="0.3">
      <c r="B3" t="s">
        <v>182</v>
      </c>
      <c r="C3">
        <v>4</v>
      </c>
      <c r="D3">
        <v>5</v>
      </c>
      <c r="E3">
        <v>2</v>
      </c>
      <c r="F3">
        <v>3</v>
      </c>
      <c r="G3">
        <v>5</v>
      </c>
      <c r="H3">
        <v>3</v>
      </c>
      <c r="I3">
        <v>3</v>
      </c>
      <c r="J3">
        <v>5</v>
      </c>
      <c r="K3">
        <v>5</v>
      </c>
      <c r="L3">
        <v>5</v>
      </c>
      <c r="M3">
        <v>5</v>
      </c>
    </row>
    <row r="4" spans="2:13" x14ac:dyDescent="0.3">
      <c r="B4" t="s">
        <v>183</v>
      </c>
      <c r="C4">
        <v>1</v>
      </c>
      <c r="D4">
        <v>5</v>
      </c>
      <c r="E4">
        <v>4</v>
      </c>
      <c r="F4">
        <v>5</v>
      </c>
      <c r="G4">
        <v>4</v>
      </c>
      <c r="H4">
        <v>4</v>
      </c>
      <c r="I4">
        <v>4</v>
      </c>
      <c r="J4">
        <v>4</v>
      </c>
      <c r="K4">
        <v>5</v>
      </c>
      <c r="L4">
        <v>4</v>
      </c>
      <c r="M4">
        <v>4</v>
      </c>
    </row>
    <row r="5" spans="2:13" x14ac:dyDescent="0.3">
      <c r="B5" t="s">
        <v>185</v>
      </c>
      <c r="C5">
        <v>3</v>
      </c>
      <c r="D5">
        <v>4</v>
      </c>
      <c r="E5">
        <v>5</v>
      </c>
      <c r="F5">
        <v>4</v>
      </c>
      <c r="G5">
        <v>4</v>
      </c>
      <c r="H5">
        <v>5</v>
      </c>
      <c r="I5">
        <v>5</v>
      </c>
      <c r="J5">
        <v>3</v>
      </c>
      <c r="K5">
        <v>5</v>
      </c>
      <c r="L5">
        <v>4</v>
      </c>
      <c r="M5">
        <v>3</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43CA0-4F48-4B37-A2FC-0AF380468A3B}">
  <dimension ref="A1:L11"/>
  <sheetViews>
    <sheetView zoomScale="148" zoomScaleNormal="148" workbookViewId="0">
      <selection activeCell="D11" sqref="D11"/>
    </sheetView>
  </sheetViews>
  <sheetFormatPr defaultRowHeight="14.4" x14ac:dyDescent="0.3"/>
  <cols>
    <col min="1" max="3" width="9.77734375" customWidth="1"/>
    <col min="4" max="4" width="13.5546875" customWidth="1"/>
    <col min="5" max="5" width="14.5546875" customWidth="1"/>
    <col min="6" max="6" width="20.21875" customWidth="1"/>
    <col min="7" max="10" width="11.33203125" customWidth="1"/>
    <col min="11" max="11" width="17.33203125" customWidth="1"/>
    <col min="12" max="12" width="11.33203125" customWidth="1"/>
  </cols>
  <sheetData>
    <row r="1" spans="1:12" ht="18.600000000000001" customHeight="1" x14ac:dyDescent="0.3">
      <c r="A1" s="207" t="s">
        <v>199</v>
      </c>
      <c r="B1" s="207"/>
      <c r="C1" s="207"/>
      <c r="D1" s="207"/>
      <c r="E1" s="207"/>
    </row>
    <row r="2" spans="1:12" ht="17.399999999999999" customHeight="1" x14ac:dyDescent="0.3">
      <c r="A2" s="207" t="s">
        <v>198</v>
      </c>
      <c r="B2" s="207"/>
      <c r="C2" s="207"/>
      <c r="D2" s="207"/>
      <c r="E2" s="207"/>
    </row>
    <row r="3" spans="1:12" ht="18.600000000000001" customHeight="1" x14ac:dyDescent="0.3">
      <c r="A3" s="207" t="s">
        <v>195</v>
      </c>
      <c r="B3" s="207"/>
      <c r="C3" s="207"/>
      <c r="D3" s="207"/>
      <c r="E3" s="207"/>
      <c r="F3" t="s">
        <v>214</v>
      </c>
    </row>
    <row r="4" spans="1:12" ht="17.399999999999999" customHeight="1" x14ac:dyDescent="0.3">
      <c r="A4" s="207" t="s">
        <v>197</v>
      </c>
      <c r="B4" s="207"/>
      <c r="C4" s="207"/>
      <c r="D4" s="207"/>
      <c r="E4" s="207"/>
    </row>
    <row r="5" spans="1:12" ht="45" customHeight="1" x14ac:dyDescent="0.3">
      <c r="A5" s="206" t="s">
        <v>189</v>
      </c>
      <c r="B5" s="206" t="s">
        <v>190</v>
      </c>
      <c r="C5" s="206" t="s">
        <v>191</v>
      </c>
      <c r="D5" s="100" t="s">
        <v>192</v>
      </c>
      <c r="E5" s="100" t="s">
        <v>193</v>
      </c>
      <c r="F5" t="s">
        <v>214</v>
      </c>
    </row>
    <row r="6" spans="1:12" ht="45" customHeight="1" x14ac:dyDescent="0.3">
      <c r="A6" s="206"/>
      <c r="B6" s="206"/>
      <c r="C6" s="206"/>
      <c r="D6" s="101" t="s">
        <v>196</v>
      </c>
      <c r="E6" s="102" t="s">
        <v>194</v>
      </c>
    </row>
    <row r="8" spans="1:12" ht="27.6" customHeight="1" x14ac:dyDescent="0.3">
      <c r="F8" s="103" t="s">
        <v>213</v>
      </c>
      <c r="G8" s="98" t="s">
        <v>200</v>
      </c>
      <c r="H8" s="98" t="s">
        <v>201</v>
      </c>
      <c r="I8" s="98" t="s">
        <v>202</v>
      </c>
      <c r="J8" s="98" t="s">
        <v>203</v>
      </c>
      <c r="K8" s="98" t="s">
        <v>204</v>
      </c>
      <c r="L8" s="98" t="s">
        <v>205</v>
      </c>
    </row>
    <row r="9" spans="1:12" ht="27.6" customHeight="1" x14ac:dyDescent="0.3">
      <c r="F9" s="99" t="s">
        <v>215</v>
      </c>
      <c r="G9" s="103" t="s">
        <v>206</v>
      </c>
      <c r="H9" s="103" t="s">
        <v>207</v>
      </c>
      <c r="I9" s="103"/>
      <c r="J9" s="103"/>
      <c r="K9" s="103" t="s">
        <v>210</v>
      </c>
      <c r="L9" s="104">
        <v>0</v>
      </c>
    </row>
    <row r="10" spans="1:12" ht="40.200000000000003" customHeight="1" x14ac:dyDescent="0.3">
      <c r="F10" s="99" t="s">
        <v>211</v>
      </c>
      <c r="G10" s="103" t="s">
        <v>206</v>
      </c>
      <c r="H10" s="103" t="s">
        <v>206</v>
      </c>
      <c r="I10" s="103" t="s">
        <v>207</v>
      </c>
      <c r="J10" s="103" t="s">
        <v>207</v>
      </c>
      <c r="K10" s="103" t="s">
        <v>208</v>
      </c>
      <c r="L10" s="103" t="s">
        <v>209</v>
      </c>
    </row>
    <row r="11" spans="1:12" ht="28.2" customHeight="1" x14ac:dyDescent="0.3">
      <c r="F11" s="99" t="s">
        <v>212</v>
      </c>
      <c r="G11" s="103" t="s">
        <v>206</v>
      </c>
      <c r="H11" s="103" t="s">
        <v>206</v>
      </c>
      <c r="I11" s="103" t="s">
        <v>207</v>
      </c>
      <c r="J11" s="103" t="s">
        <v>207</v>
      </c>
      <c r="K11" s="103" t="s">
        <v>208</v>
      </c>
      <c r="L11" s="103" t="s">
        <v>209</v>
      </c>
    </row>
  </sheetData>
  <mergeCells count="7">
    <mergeCell ref="A5:A6"/>
    <mergeCell ref="B5:B6"/>
    <mergeCell ref="C5:C6"/>
    <mergeCell ref="A4:E4"/>
    <mergeCell ref="A1:E1"/>
    <mergeCell ref="A2:E2"/>
    <mergeCell ref="A3:E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91DC4-8091-4999-8F33-8761DEFD127E}">
  <dimension ref="B2:M16"/>
  <sheetViews>
    <sheetView topLeftCell="A2" zoomScale="96" zoomScaleNormal="96" workbookViewId="0">
      <selection activeCell="R12" sqref="R12"/>
    </sheetView>
  </sheetViews>
  <sheetFormatPr defaultColWidth="10.5546875" defaultRowHeight="28.2" customHeight="1" x14ac:dyDescent="0.3"/>
  <cols>
    <col min="1" max="2" width="8.88671875" style="105" customWidth="1"/>
    <col min="3" max="3" width="3.6640625" style="105" customWidth="1"/>
    <col min="4" max="8" width="12.5546875" style="105" customWidth="1"/>
    <col min="9" max="9" width="15.44140625" style="105" customWidth="1"/>
    <col min="10" max="10" width="14.88671875" style="105" customWidth="1"/>
    <col min="11" max="13" width="12.5546875" style="105" customWidth="1"/>
    <col min="14" max="16384" width="10.5546875" style="105"/>
  </cols>
  <sheetData>
    <row r="2" spans="2:13" ht="28.2" customHeight="1" x14ac:dyDescent="0.4">
      <c r="D2" s="210" t="s">
        <v>225</v>
      </c>
      <c r="E2" s="210"/>
      <c r="F2" s="210"/>
    </row>
    <row r="3" spans="2:13" ht="28.2" customHeight="1" x14ac:dyDescent="0.3">
      <c r="B3" s="111" t="s">
        <v>216</v>
      </c>
      <c r="C3" s="105">
        <f t="shared" ref="C3:C10" si="0">C4+1</f>
        <v>10</v>
      </c>
      <c r="D3" s="106"/>
      <c r="I3" s="106"/>
      <c r="J3" s="114" t="s">
        <v>255</v>
      </c>
      <c r="M3" s="114" t="s">
        <v>228</v>
      </c>
    </row>
    <row r="4" spans="2:13" ht="28.2" customHeight="1" x14ac:dyDescent="0.3">
      <c r="C4" s="105">
        <f t="shared" si="0"/>
        <v>9</v>
      </c>
      <c r="D4" s="106"/>
      <c r="F4" s="113" t="s">
        <v>222</v>
      </c>
      <c r="H4" s="113" t="s">
        <v>226</v>
      </c>
    </row>
    <row r="5" spans="2:13" ht="28.2" customHeight="1" x14ac:dyDescent="0.3">
      <c r="C5" s="105">
        <f t="shared" si="0"/>
        <v>8</v>
      </c>
      <c r="D5" s="106"/>
      <c r="F5" s="113" t="s">
        <v>220</v>
      </c>
      <c r="H5" s="113" t="s">
        <v>221</v>
      </c>
      <c r="I5" s="106"/>
      <c r="J5" s="114" t="s">
        <v>254</v>
      </c>
    </row>
    <row r="6" spans="2:13" ht="28.2" customHeight="1" x14ac:dyDescent="0.3">
      <c r="C6" s="105">
        <f t="shared" si="0"/>
        <v>7</v>
      </c>
      <c r="D6" s="106"/>
      <c r="I6" s="106"/>
    </row>
    <row r="7" spans="2:13" ht="28.2" customHeight="1" x14ac:dyDescent="0.4">
      <c r="B7" s="112" t="s">
        <v>223</v>
      </c>
      <c r="C7" s="105">
        <f t="shared" si="0"/>
        <v>6</v>
      </c>
      <c r="D7" s="106"/>
      <c r="I7" s="106"/>
    </row>
    <row r="8" spans="2:13" ht="28.2" customHeight="1" x14ac:dyDescent="0.3">
      <c r="C8" s="105">
        <f t="shared" si="0"/>
        <v>5</v>
      </c>
      <c r="D8" s="107"/>
      <c r="E8" s="108"/>
      <c r="F8" s="108"/>
      <c r="G8" s="108"/>
      <c r="H8" s="108"/>
      <c r="I8" s="107"/>
      <c r="J8" s="108"/>
      <c r="K8" s="108"/>
      <c r="L8" s="108"/>
      <c r="M8" s="108"/>
    </row>
    <row r="9" spans="2:13" ht="32.4" customHeight="1" x14ac:dyDescent="0.3">
      <c r="C9" s="105">
        <f t="shared" si="0"/>
        <v>4</v>
      </c>
      <c r="D9" s="106"/>
      <c r="I9" s="106"/>
    </row>
    <row r="10" spans="2:13" ht="43.8" customHeight="1" x14ac:dyDescent="0.3">
      <c r="C10" s="105">
        <f t="shared" si="0"/>
        <v>3</v>
      </c>
      <c r="D10" s="106"/>
      <c r="G10" s="118" t="s">
        <v>229</v>
      </c>
      <c r="I10" s="106"/>
      <c r="J10" s="113" t="s">
        <v>252</v>
      </c>
    </row>
    <row r="11" spans="2:13" ht="40.200000000000003" customHeight="1" x14ac:dyDescent="0.3">
      <c r="C11" s="105">
        <f>C12+1</f>
        <v>2</v>
      </c>
      <c r="D11" s="115" t="s">
        <v>227</v>
      </c>
      <c r="I11" s="106"/>
    </row>
    <row r="12" spans="2:13" ht="28.2" customHeight="1" x14ac:dyDescent="0.3">
      <c r="B12" s="111" t="s">
        <v>217</v>
      </c>
      <c r="C12" s="105">
        <v>1</v>
      </c>
      <c r="D12" s="109"/>
      <c r="E12" s="110"/>
      <c r="F12" s="110"/>
      <c r="G12" s="110"/>
      <c r="H12" s="110"/>
      <c r="I12" s="109"/>
      <c r="J12" s="117" t="s">
        <v>253</v>
      </c>
      <c r="K12" s="110"/>
      <c r="L12" s="110"/>
      <c r="M12" s="110"/>
    </row>
    <row r="13" spans="2:13" ht="14.4" customHeight="1" x14ac:dyDescent="0.3">
      <c r="D13" s="105">
        <v>1</v>
      </c>
      <c r="E13" s="105">
        <f>D13+1</f>
        <v>2</v>
      </c>
      <c r="F13" s="105">
        <f t="shared" ref="F13:M13" si="1">E13+1</f>
        <v>3</v>
      </c>
      <c r="G13" s="105">
        <f t="shared" si="1"/>
        <v>4</v>
      </c>
      <c r="H13" s="105">
        <f t="shared" si="1"/>
        <v>5</v>
      </c>
      <c r="I13" s="105">
        <f t="shared" si="1"/>
        <v>6</v>
      </c>
      <c r="J13" s="105">
        <f t="shared" si="1"/>
        <v>7</v>
      </c>
      <c r="K13" s="105">
        <f t="shared" si="1"/>
        <v>8</v>
      </c>
      <c r="L13" s="105">
        <f t="shared" si="1"/>
        <v>9</v>
      </c>
      <c r="M13" s="105">
        <f t="shared" si="1"/>
        <v>10</v>
      </c>
    </row>
    <row r="14" spans="2:13" ht="20.399999999999999" customHeight="1" x14ac:dyDescent="0.4">
      <c r="D14" s="105" t="s">
        <v>218</v>
      </c>
      <c r="H14" s="208" t="s">
        <v>224</v>
      </c>
      <c r="I14" s="208"/>
      <c r="M14" s="111" t="s">
        <v>219</v>
      </c>
    </row>
    <row r="15" spans="2:13" ht="16.8" customHeight="1" x14ac:dyDescent="0.3">
      <c r="D15" s="209" t="s">
        <v>251</v>
      </c>
      <c r="E15" s="209"/>
      <c r="F15" s="209"/>
    </row>
    <row r="16" spans="2:13" ht="14.4" x14ac:dyDescent="0.3">
      <c r="D16" s="209" t="s">
        <v>256</v>
      </c>
      <c r="E16" s="209"/>
      <c r="F16" s="209"/>
      <c r="G16" s="209"/>
      <c r="H16" s="209"/>
      <c r="I16" s="209"/>
    </row>
  </sheetData>
  <mergeCells count="4">
    <mergeCell ref="H14:I14"/>
    <mergeCell ref="D15:F15"/>
    <mergeCell ref="D2:F2"/>
    <mergeCell ref="D16:I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EE6AC-0094-4982-B076-DC6D812CA9FB}">
  <dimension ref="A2:T13"/>
  <sheetViews>
    <sheetView topLeftCell="E1" zoomScale="110" zoomScaleNormal="110" workbookViewId="0">
      <selection activeCell="L5" sqref="L5:T12"/>
    </sheetView>
  </sheetViews>
  <sheetFormatPr defaultColWidth="10.5546875" defaultRowHeight="28.2" customHeight="1" x14ac:dyDescent="0.3"/>
  <cols>
    <col min="1" max="1" width="8.88671875" style="105" customWidth="1"/>
    <col min="2" max="2" width="11.44140625" style="105" customWidth="1"/>
    <col min="3" max="3" width="8.21875" style="105" customWidth="1"/>
    <col min="4" max="4" width="30.109375" style="105" customWidth="1"/>
    <col min="5" max="5" width="3.88671875" style="105" customWidth="1"/>
    <col min="6" max="6" width="29.88671875" style="105" customWidth="1"/>
    <col min="7" max="7" width="5.21875" style="105" customWidth="1"/>
    <col min="8" max="8" width="19.33203125" style="105" customWidth="1"/>
    <col min="9" max="9" width="5.5546875" style="105" customWidth="1"/>
    <col min="10" max="16384" width="10.5546875" style="105"/>
  </cols>
  <sheetData>
    <row r="2" spans="1:20" ht="28.2" customHeight="1" x14ac:dyDescent="0.4">
      <c r="C2" s="210" t="s">
        <v>273</v>
      </c>
      <c r="D2" s="210"/>
    </row>
    <row r="3" spans="1:20" ht="28.2" customHeight="1" x14ac:dyDescent="0.3">
      <c r="A3" s="213" t="s">
        <v>274</v>
      </c>
      <c r="B3" s="213"/>
      <c r="C3" s="106"/>
    </row>
    <row r="4" spans="1:20" ht="38.4" customHeight="1" x14ac:dyDescent="0.3">
      <c r="C4" s="106"/>
      <c r="D4" s="124" t="s">
        <v>284</v>
      </c>
      <c r="F4" s="124" t="s">
        <v>287</v>
      </c>
      <c r="H4" s="124" t="s">
        <v>288</v>
      </c>
    </row>
    <row r="5" spans="1:20" ht="51" customHeight="1" x14ac:dyDescent="0.4">
      <c r="B5" s="123" t="s">
        <v>275</v>
      </c>
      <c r="C5" s="106"/>
      <c r="D5" s="122" t="s">
        <v>291</v>
      </c>
      <c r="L5" s="105" cm="1">
        <f t="array" ref="L5:T12">LEN(A2:I9)</f>
        <v>0</v>
      </c>
      <c r="M5" s="105">
        <v>0</v>
      </c>
      <c r="N5" s="105">
        <v>15</v>
      </c>
      <c r="O5" s="105">
        <v>0</v>
      </c>
      <c r="P5" s="105">
        <v>0</v>
      </c>
      <c r="Q5" s="105">
        <v>0</v>
      </c>
      <c r="R5" s="105">
        <v>0</v>
      </c>
      <c r="S5" s="105">
        <v>0</v>
      </c>
      <c r="T5" s="105">
        <v>0</v>
      </c>
    </row>
    <row r="6" spans="1:20" ht="37.799999999999997" customHeight="1" x14ac:dyDescent="0.3">
      <c r="C6" s="106"/>
      <c r="D6" s="124" t="s">
        <v>283</v>
      </c>
      <c r="F6" s="124" t="s">
        <v>285</v>
      </c>
      <c r="H6" s="124" t="s">
        <v>286</v>
      </c>
      <c r="K6" s="105">
        <f>SUM(_xlfn.ANCHORARRAY(L5))</f>
        <v>456</v>
      </c>
      <c r="L6" s="105">
        <v>6</v>
      </c>
      <c r="M6" s="105">
        <v>0</v>
      </c>
      <c r="N6" s="105">
        <v>0</v>
      </c>
      <c r="O6" s="105">
        <v>0</v>
      </c>
      <c r="P6" s="105">
        <v>0</v>
      </c>
      <c r="Q6" s="105">
        <v>0</v>
      </c>
      <c r="R6" s="105">
        <v>0</v>
      </c>
      <c r="S6" s="105">
        <v>0</v>
      </c>
      <c r="T6" s="105">
        <v>0</v>
      </c>
    </row>
    <row r="7" spans="1:20" ht="76.8" customHeight="1" x14ac:dyDescent="0.35">
      <c r="A7" s="212" t="s">
        <v>276</v>
      </c>
      <c r="B7" s="212"/>
      <c r="C7" s="109"/>
      <c r="D7" s="122" t="s">
        <v>289</v>
      </c>
      <c r="E7" s="110"/>
      <c r="F7" s="121" t="s">
        <v>290</v>
      </c>
      <c r="G7" s="110"/>
      <c r="H7" s="110"/>
      <c r="I7" s="110"/>
      <c r="L7" s="105">
        <v>0</v>
      </c>
      <c r="M7" s="105">
        <v>0</v>
      </c>
      <c r="N7" s="105">
        <v>0</v>
      </c>
      <c r="O7" s="105">
        <v>18</v>
      </c>
      <c r="P7" s="105">
        <v>0</v>
      </c>
      <c r="Q7" s="105">
        <v>13</v>
      </c>
      <c r="R7" s="105">
        <v>0</v>
      </c>
      <c r="S7" s="105">
        <v>18</v>
      </c>
      <c r="T7" s="105">
        <v>0</v>
      </c>
    </row>
    <row r="8" spans="1:20" ht="20.399999999999999" customHeight="1" x14ac:dyDescent="0.4">
      <c r="C8" s="211" t="s">
        <v>279</v>
      </c>
      <c r="D8" s="211"/>
      <c r="E8" s="208" t="s">
        <v>277</v>
      </c>
      <c r="F8" s="208"/>
      <c r="H8" s="212" t="s">
        <v>281</v>
      </c>
      <c r="I8" s="212"/>
      <c r="L8" s="105">
        <v>0</v>
      </c>
      <c r="M8" s="105">
        <v>5</v>
      </c>
      <c r="N8" s="105">
        <v>0</v>
      </c>
      <c r="O8" s="105">
        <v>59</v>
      </c>
      <c r="P8" s="105">
        <v>0</v>
      </c>
      <c r="Q8" s="105">
        <v>0</v>
      </c>
      <c r="R8" s="105">
        <v>0</v>
      </c>
      <c r="S8" s="105">
        <v>0</v>
      </c>
      <c r="T8" s="105">
        <v>0</v>
      </c>
    </row>
    <row r="9" spans="1:20" ht="21.6" customHeight="1" x14ac:dyDescent="0.4">
      <c r="C9" s="125" t="s">
        <v>280</v>
      </c>
      <c r="D9" s="119"/>
      <c r="E9" s="208" t="s">
        <v>278</v>
      </c>
      <c r="F9" s="208"/>
      <c r="H9" s="120"/>
      <c r="I9" s="120" t="s">
        <v>282</v>
      </c>
      <c r="L9" s="105">
        <v>0</v>
      </c>
      <c r="M9" s="105">
        <v>0</v>
      </c>
      <c r="N9" s="105">
        <v>0</v>
      </c>
      <c r="O9" s="105">
        <v>18</v>
      </c>
      <c r="P9" s="105">
        <v>0</v>
      </c>
      <c r="Q9" s="105">
        <v>14</v>
      </c>
      <c r="R9" s="105">
        <v>0</v>
      </c>
      <c r="S9" s="105">
        <v>23</v>
      </c>
      <c r="T9" s="105">
        <v>0</v>
      </c>
    </row>
    <row r="10" spans="1:20" ht="14.4" x14ac:dyDescent="0.3">
      <c r="C10" s="209"/>
      <c r="D10" s="209"/>
      <c r="E10" s="209"/>
      <c r="F10" s="209"/>
      <c r="L10" s="105">
        <v>11</v>
      </c>
      <c r="M10" s="105">
        <v>0</v>
      </c>
      <c r="N10" s="105">
        <v>0</v>
      </c>
      <c r="O10" s="105">
        <v>66</v>
      </c>
      <c r="P10" s="105">
        <v>0</v>
      </c>
      <c r="Q10" s="105">
        <v>132</v>
      </c>
      <c r="R10" s="105">
        <v>0</v>
      </c>
      <c r="S10" s="105">
        <v>0</v>
      </c>
      <c r="T10" s="105">
        <v>0</v>
      </c>
    </row>
    <row r="11" spans="1:20" ht="28.2" customHeight="1" x14ac:dyDescent="0.3">
      <c r="L11" s="105">
        <v>0</v>
      </c>
      <c r="M11" s="105">
        <v>0</v>
      </c>
      <c r="N11" s="105">
        <v>19</v>
      </c>
      <c r="O11" s="105">
        <v>0</v>
      </c>
      <c r="P11" s="105">
        <v>7</v>
      </c>
      <c r="Q11" s="105">
        <v>0</v>
      </c>
      <c r="R11" s="105">
        <v>0</v>
      </c>
      <c r="S11" s="105">
        <v>16</v>
      </c>
      <c r="T11" s="105">
        <v>0</v>
      </c>
    </row>
    <row r="12" spans="1:20" ht="28.2" customHeight="1" x14ac:dyDescent="0.3">
      <c r="L12" s="105">
        <v>0</v>
      </c>
      <c r="M12" s="105">
        <v>0</v>
      </c>
      <c r="N12" s="105">
        <v>6</v>
      </c>
      <c r="O12" s="105">
        <v>0</v>
      </c>
      <c r="P12" s="105">
        <v>6</v>
      </c>
      <c r="Q12" s="105">
        <v>0</v>
      </c>
      <c r="R12" s="105">
        <v>0</v>
      </c>
      <c r="S12" s="105">
        <v>0</v>
      </c>
      <c r="T12" s="105">
        <v>4</v>
      </c>
    </row>
    <row r="13" spans="1:20" ht="28.2" customHeight="1" x14ac:dyDescent="0.3">
      <c r="L13" s="105">
        <f t="shared" ref="L13:T13" si="0">SUM(L5:L12)</f>
        <v>17</v>
      </c>
      <c r="M13" s="105">
        <f t="shared" si="0"/>
        <v>5</v>
      </c>
      <c r="N13" s="105">
        <f t="shared" si="0"/>
        <v>40</v>
      </c>
      <c r="O13" s="105">
        <f t="shared" si="0"/>
        <v>161</v>
      </c>
      <c r="P13" s="105">
        <f t="shared" si="0"/>
        <v>13</v>
      </c>
      <c r="Q13" s="105">
        <f t="shared" si="0"/>
        <v>159</v>
      </c>
      <c r="R13" s="105">
        <f t="shared" si="0"/>
        <v>0</v>
      </c>
      <c r="S13" s="105">
        <f t="shared" si="0"/>
        <v>57</v>
      </c>
      <c r="T13" s="105">
        <f t="shared" si="0"/>
        <v>4</v>
      </c>
    </row>
  </sheetData>
  <mergeCells count="8">
    <mergeCell ref="A3:B3"/>
    <mergeCell ref="C2:D2"/>
    <mergeCell ref="E8:F8"/>
    <mergeCell ref="C10:F10"/>
    <mergeCell ref="E9:F9"/>
    <mergeCell ref="C8:D8"/>
    <mergeCell ref="H8:I8"/>
    <mergeCell ref="A7:B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4A9C7-E3F6-4B53-830E-952EBA874745}">
  <dimension ref="A1:L45"/>
  <sheetViews>
    <sheetView topLeftCell="A14" zoomScale="130" zoomScaleNormal="130" workbookViewId="0">
      <selection activeCell="B5" sqref="B5"/>
    </sheetView>
  </sheetViews>
  <sheetFormatPr defaultColWidth="9.109375" defaultRowHeight="13.8" x14ac:dyDescent="0.3"/>
  <cols>
    <col min="1" max="1" width="20.5546875" style="127" customWidth="1"/>
    <col min="2" max="2" width="113.44140625" style="127" customWidth="1"/>
    <col min="3" max="3" width="13.88671875" style="127" customWidth="1"/>
    <col min="4" max="4" width="9.109375" style="127" hidden="1" customWidth="1"/>
    <col min="5" max="5" width="11.88671875" style="127" hidden="1" customWidth="1"/>
    <col min="6" max="11" width="9.109375" style="127" customWidth="1"/>
    <col min="12" max="12" width="0" style="127" hidden="1" customWidth="1"/>
    <col min="13" max="13" width="9.109375" style="127" customWidth="1"/>
    <col min="14" max="16384" width="9.109375" style="127"/>
  </cols>
  <sheetData>
    <row r="1" spans="1:12" s="128" customFormat="1" x14ac:dyDescent="0.3">
      <c r="A1" s="214" t="s">
        <v>11</v>
      </c>
      <c r="B1" s="214"/>
      <c r="C1" s="127" t="s">
        <v>101</v>
      </c>
      <c r="D1" s="127"/>
      <c r="E1" s="127"/>
      <c r="F1" s="127"/>
      <c r="G1" s="127"/>
      <c r="H1" s="127"/>
      <c r="I1" s="127"/>
      <c r="J1" s="127"/>
      <c r="K1" s="127"/>
      <c r="L1" s="127"/>
    </row>
    <row r="2" spans="1:12" s="128" customFormat="1" x14ac:dyDescent="0.3">
      <c r="A2" s="126" t="s">
        <v>12</v>
      </c>
      <c r="B2" s="126" t="s">
        <v>342</v>
      </c>
      <c r="C2" s="127" t="s">
        <v>103</v>
      </c>
      <c r="D2" s="127" t="s">
        <v>106</v>
      </c>
      <c r="E2" s="127"/>
      <c r="F2" s="127" t="s">
        <v>109</v>
      </c>
      <c r="G2" s="127"/>
      <c r="H2" s="127"/>
      <c r="I2" s="127"/>
      <c r="J2" s="127"/>
      <c r="K2" s="127"/>
      <c r="L2" s="127" t="s">
        <v>102</v>
      </c>
    </row>
    <row r="3" spans="1:12" s="128" customFormat="1" ht="41.4" x14ac:dyDescent="0.3">
      <c r="A3" s="129" t="s">
        <v>347</v>
      </c>
      <c r="B3" s="130" t="s">
        <v>317</v>
      </c>
      <c r="C3" s="127" t="s">
        <v>102</v>
      </c>
      <c r="D3" s="127" t="s">
        <v>293</v>
      </c>
      <c r="E3" s="127">
        <v>1</v>
      </c>
      <c r="F3" s="127" t="s">
        <v>13</v>
      </c>
      <c r="G3" s="127"/>
      <c r="H3" s="127"/>
      <c r="I3" s="127"/>
      <c r="J3" s="127"/>
      <c r="K3" s="127"/>
      <c r="L3" s="127" t="s">
        <v>103</v>
      </c>
    </row>
    <row r="4" spans="1:12" s="128" customFormat="1" ht="27.6" x14ac:dyDescent="0.3">
      <c r="A4" s="129" t="s">
        <v>306</v>
      </c>
      <c r="B4" s="129" t="s">
        <v>318</v>
      </c>
      <c r="C4" s="127" t="s">
        <v>102</v>
      </c>
      <c r="D4" s="127" t="s">
        <v>293</v>
      </c>
      <c r="E4" s="127">
        <v>2</v>
      </c>
      <c r="F4" s="127" t="s">
        <v>14</v>
      </c>
      <c r="G4" s="127"/>
      <c r="H4" s="127"/>
      <c r="I4" s="127"/>
      <c r="J4" s="127"/>
      <c r="K4" s="127"/>
      <c r="L4" s="127" t="s">
        <v>104</v>
      </c>
    </row>
    <row r="5" spans="1:12" s="128" customFormat="1" ht="27.6" x14ac:dyDescent="0.3">
      <c r="A5" s="129" t="s">
        <v>307</v>
      </c>
      <c r="B5" s="129" t="s">
        <v>378</v>
      </c>
      <c r="C5" s="127" t="s">
        <v>102</v>
      </c>
      <c r="D5" s="127" t="s">
        <v>293</v>
      </c>
      <c r="E5" s="127">
        <v>2</v>
      </c>
      <c r="F5" s="127" t="s">
        <v>15</v>
      </c>
      <c r="G5" s="127"/>
      <c r="H5" s="127"/>
      <c r="I5" s="127"/>
      <c r="J5" s="127"/>
      <c r="K5" s="127"/>
      <c r="L5" s="127" t="s">
        <v>104</v>
      </c>
    </row>
    <row r="6" spans="1:12" s="128" customFormat="1" ht="27.6" x14ac:dyDescent="0.3">
      <c r="A6" s="129" t="s">
        <v>320</v>
      </c>
      <c r="B6" s="129" t="s">
        <v>345</v>
      </c>
      <c r="C6" s="127" t="s">
        <v>105</v>
      </c>
      <c r="D6" s="127" t="s">
        <v>294</v>
      </c>
      <c r="E6" s="127">
        <v>1</v>
      </c>
      <c r="F6" s="127" t="s">
        <v>38</v>
      </c>
      <c r="G6" s="127"/>
      <c r="H6" s="127"/>
      <c r="I6" s="127"/>
      <c r="J6" s="127"/>
      <c r="K6" s="127"/>
      <c r="L6" s="127" t="s">
        <v>105</v>
      </c>
    </row>
    <row r="7" spans="1:12" s="128" customFormat="1" ht="55.2" x14ac:dyDescent="0.3">
      <c r="A7" s="129" t="s">
        <v>321</v>
      </c>
      <c r="B7" s="129" t="s">
        <v>295</v>
      </c>
      <c r="C7" s="127" t="s">
        <v>102</v>
      </c>
      <c r="D7" s="127" t="s">
        <v>294</v>
      </c>
      <c r="E7" s="127">
        <v>2</v>
      </c>
      <c r="F7" s="127" t="s">
        <v>16</v>
      </c>
      <c r="G7" s="127"/>
      <c r="H7" s="127"/>
      <c r="I7" s="127"/>
      <c r="J7" s="127"/>
      <c r="K7" s="127"/>
      <c r="L7" s="127"/>
    </row>
    <row r="8" spans="1:12" s="128" customFormat="1" ht="27.6" x14ac:dyDescent="0.3">
      <c r="A8" s="129" t="s">
        <v>308</v>
      </c>
      <c r="B8" s="129" t="s">
        <v>322</v>
      </c>
      <c r="C8" s="127" t="s">
        <v>105</v>
      </c>
      <c r="D8" s="127" t="s">
        <v>294</v>
      </c>
      <c r="E8" s="127">
        <v>3</v>
      </c>
      <c r="F8" s="127" t="s">
        <v>39</v>
      </c>
      <c r="G8" s="127"/>
      <c r="H8" s="127"/>
      <c r="I8" s="127"/>
      <c r="J8" s="127"/>
      <c r="K8" s="127"/>
      <c r="L8" s="127"/>
    </row>
    <row r="9" spans="1:12" s="128" customFormat="1" ht="27.6" x14ac:dyDescent="0.3">
      <c r="A9" s="129" t="s">
        <v>323</v>
      </c>
      <c r="B9" s="129" t="s">
        <v>324</v>
      </c>
      <c r="C9" s="127" t="s">
        <v>105</v>
      </c>
      <c r="D9" s="127" t="s">
        <v>294</v>
      </c>
      <c r="E9" s="127">
        <v>3</v>
      </c>
      <c r="F9" s="127" t="s">
        <v>40</v>
      </c>
      <c r="G9" s="127"/>
      <c r="H9" s="127"/>
      <c r="I9" s="127"/>
      <c r="J9" s="127"/>
      <c r="K9" s="127"/>
      <c r="L9" s="127"/>
    </row>
    <row r="10" spans="1:12" s="128" customFormat="1" ht="55.2" x14ac:dyDescent="0.3">
      <c r="A10" s="129" t="s">
        <v>300</v>
      </c>
      <c r="B10" s="129" t="s">
        <v>316</v>
      </c>
      <c r="C10" s="127" t="s">
        <v>105</v>
      </c>
      <c r="D10" s="127" t="s">
        <v>294</v>
      </c>
      <c r="E10" s="127">
        <v>3</v>
      </c>
      <c r="F10" s="127" t="s">
        <v>41</v>
      </c>
      <c r="G10" s="127"/>
      <c r="H10" s="127"/>
      <c r="I10" s="127"/>
      <c r="J10" s="127"/>
      <c r="K10" s="127"/>
      <c r="L10" s="127"/>
    </row>
    <row r="11" spans="1:12" s="128" customFormat="1" ht="41.4" x14ac:dyDescent="0.3">
      <c r="A11" s="129" t="s">
        <v>343</v>
      </c>
      <c r="B11" s="129" t="s">
        <v>325</v>
      </c>
      <c r="C11" s="127" t="s">
        <v>105</v>
      </c>
      <c r="D11" s="127"/>
      <c r="E11" s="127"/>
      <c r="F11" s="127" t="s">
        <v>42</v>
      </c>
      <c r="G11" s="127"/>
      <c r="H11" s="127"/>
      <c r="I11" s="127"/>
      <c r="J11" s="127"/>
      <c r="K11" s="127"/>
      <c r="L11" s="127"/>
    </row>
    <row r="12" spans="1:12" s="128" customFormat="1" ht="27.6" x14ac:dyDescent="0.3">
      <c r="A12" s="129" t="s">
        <v>302</v>
      </c>
      <c r="B12" s="129" t="s">
        <v>309</v>
      </c>
      <c r="C12" s="127" t="s">
        <v>102</v>
      </c>
      <c r="D12" s="127"/>
      <c r="E12" s="127"/>
      <c r="F12" s="127" t="s">
        <v>17</v>
      </c>
      <c r="G12" s="127"/>
      <c r="H12" s="127"/>
      <c r="I12" s="127"/>
      <c r="J12" s="127"/>
      <c r="K12" s="127"/>
      <c r="L12" s="127"/>
    </row>
    <row r="13" spans="1:12" s="128" customFormat="1" ht="41.4" x14ac:dyDescent="0.3">
      <c r="A13" s="129" t="s">
        <v>296</v>
      </c>
      <c r="B13" s="129" t="s">
        <v>326</v>
      </c>
      <c r="C13" s="127" t="s">
        <v>104</v>
      </c>
      <c r="D13" s="127" t="s">
        <v>294</v>
      </c>
      <c r="E13" s="127">
        <v>3</v>
      </c>
      <c r="F13" s="127" t="s">
        <v>30</v>
      </c>
      <c r="G13" s="127"/>
      <c r="H13" s="127"/>
      <c r="I13" s="127"/>
      <c r="J13" s="127"/>
      <c r="K13" s="127"/>
      <c r="L13" s="127"/>
    </row>
    <row r="14" spans="1:12" s="128" customFormat="1" ht="41.4" x14ac:dyDescent="0.3">
      <c r="A14" s="129" t="s">
        <v>311</v>
      </c>
      <c r="B14" s="129" t="s">
        <v>310</v>
      </c>
      <c r="C14" s="127" t="s">
        <v>105</v>
      </c>
      <c r="D14" s="127" t="s">
        <v>294</v>
      </c>
      <c r="E14" s="127">
        <v>3</v>
      </c>
      <c r="F14" s="127" t="s">
        <v>43</v>
      </c>
      <c r="G14" s="127"/>
      <c r="H14" s="127"/>
      <c r="I14" s="127"/>
      <c r="J14" s="127"/>
      <c r="K14" s="127"/>
      <c r="L14" s="127"/>
    </row>
    <row r="15" spans="1:12" s="128" customFormat="1" ht="41.4" x14ac:dyDescent="0.3">
      <c r="A15" s="129" t="s">
        <v>312</v>
      </c>
      <c r="B15" s="129" t="s">
        <v>327</v>
      </c>
      <c r="C15" s="127" t="s">
        <v>102</v>
      </c>
      <c r="D15" s="127" t="s">
        <v>294</v>
      </c>
      <c r="E15" s="127">
        <v>3</v>
      </c>
      <c r="F15" s="127" t="s">
        <v>18</v>
      </c>
      <c r="G15" s="127"/>
      <c r="H15" s="127"/>
      <c r="I15" s="127"/>
      <c r="J15" s="127"/>
      <c r="K15" s="127"/>
      <c r="L15" s="127"/>
    </row>
    <row r="16" spans="1:12" s="128" customFormat="1" ht="41.4" x14ac:dyDescent="0.3">
      <c r="A16" s="129" t="s">
        <v>328</v>
      </c>
      <c r="B16" s="129" t="s">
        <v>331</v>
      </c>
      <c r="C16" s="127" t="s">
        <v>104</v>
      </c>
      <c r="D16" s="127" t="s">
        <v>294</v>
      </c>
      <c r="E16" s="127">
        <v>3</v>
      </c>
      <c r="F16" s="127" t="s">
        <v>31</v>
      </c>
      <c r="G16" s="127"/>
      <c r="H16" s="127"/>
      <c r="I16" s="127"/>
      <c r="J16" s="127"/>
      <c r="K16" s="127"/>
      <c r="L16" s="127"/>
    </row>
    <row r="17" spans="1:6" s="128" customFormat="1" ht="41.4" x14ac:dyDescent="0.3">
      <c r="A17" s="129" t="s">
        <v>297</v>
      </c>
      <c r="B17" s="129" t="s">
        <v>332</v>
      </c>
      <c r="C17" s="127" t="s">
        <v>102</v>
      </c>
      <c r="D17" s="127" t="s">
        <v>294</v>
      </c>
      <c r="E17" s="127">
        <v>3</v>
      </c>
      <c r="F17" s="128" t="s">
        <v>21</v>
      </c>
    </row>
    <row r="18" spans="1:6" s="128" customFormat="1" ht="41.4" x14ac:dyDescent="0.3">
      <c r="A18" s="129" t="s">
        <v>329</v>
      </c>
      <c r="B18" s="129" t="s">
        <v>333</v>
      </c>
      <c r="C18" s="127" t="s">
        <v>102</v>
      </c>
      <c r="D18" s="127" t="s">
        <v>294</v>
      </c>
      <c r="E18" s="127">
        <v>3</v>
      </c>
      <c r="F18" s="128" t="s">
        <v>19</v>
      </c>
    </row>
    <row r="19" spans="1:6" s="128" customFormat="1" ht="27.6" x14ac:dyDescent="0.3">
      <c r="A19" s="129" t="s">
        <v>330</v>
      </c>
      <c r="B19" s="129" t="s">
        <v>334</v>
      </c>
      <c r="C19" s="127" t="s">
        <v>102</v>
      </c>
      <c r="D19" s="127" t="s">
        <v>294</v>
      </c>
      <c r="E19" s="127">
        <v>3</v>
      </c>
      <c r="F19" s="128" t="s">
        <v>20</v>
      </c>
    </row>
    <row r="20" spans="1:6" s="128" customFormat="1" ht="41.4" x14ac:dyDescent="0.3">
      <c r="A20" s="129" t="s">
        <v>301</v>
      </c>
      <c r="B20" s="129" t="s">
        <v>298</v>
      </c>
      <c r="C20" s="127" t="s">
        <v>103</v>
      </c>
      <c r="D20" s="127" t="s">
        <v>294</v>
      </c>
      <c r="E20" s="127">
        <v>3</v>
      </c>
      <c r="F20" s="128" t="s">
        <v>22</v>
      </c>
    </row>
    <row r="21" spans="1:6" s="128" customFormat="1" ht="41.4" x14ac:dyDescent="0.3">
      <c r="A21" s="129" t="s">
        <v>299</v>
      </c>
      <c r="B21" s="129" t="s">
        <v>335</v>
      </c>
      <c r="C21" s="127" t="s">
        <v>102</v>
      </c>
      <c r="D21" s="127" t="s">
        <v>294</v>
      </c>
      <c r="E21" s="127">
        <v>3</v>
      </c>
      <c r="F21" s="128" t="s">
        <v>96</v>
      </c>
    </row>
    <row r="22" spans="1:6" s="128" customFormat="1" ht="41.4" x14ac:dyDescent="0.3">
      <c r="A22" s="129" t="s">
        <v>336</v>
      </c>
      <c r="B22" s="129" t="s">
        <v>315</v>
      </c>
      <c r="C22" s="127" t="s">
        <v>102</v>
      </c>
      <c r="D22" s="127"/>
      <c r="E22" s="127"/>
      <c r="F22" s="128" t="s">
        <v>97</v>
      </c>
    </row>
    <row r="23" spans="1:6" s="128" customFormat="1" ht="27.6" x14ac:dyDescent="0.3">
      <c r="A23" s="129" t="s">
        <v>313</v>
      </c>
      <c r="B23" s="129" t="s">
        <v>303</v>
      </c>
      <c r="C23" s="127" t="s">
        <v>103</v>
      </c>
      <c r="D23" s="127" t="s">
        <v>294</v>
      </c>
      <c r="E23" s="127">
        <v>3</v>
      </c>
      <c r="F23" s="128" t="s">
        <v>23</v>
      </c>
    </row>
    <row r="24" spans="1:6" s="128" customFormat="1" ht="41.4" x14ac:dyDescent="0.3">
      <c r="A24" s="129" t="s">
        <v>314</v>
      </c>
      <c r="B24" s="129" t="s">
        <v>339</v>
      </c>
      <c r="C24" s="127" t="s">
        <v>103</v>
      </c>
      <c r="D24" s="127" t="s">
        <v>294</v>
      </c>
      <c r="E24" s="127">
        <v>3</v>
      </c>
      <c r="F24" s="128" t="s">
        <v>24</v>
      </c>
    </row>
    <row r="25" spans="1:6" s="128" customFormat="1" ht="41.4" x14ac:dyDescent="0.3">
      <c r="A25" s="129" t="s">
        <v>344</v>
      </c>
      <c r="B25" s="129" t="s">
        <v>304</v>
      </c>
      <c r="C25" s="127" t="s">
        <v>104</v>
      </c>
      <c r="D25" s="127" t="s">
        <v>294</v>
      </c>
      <c r="E25" s="127">
        <v>3</v>
      </c>
      <c r="F25" s="128" t="s">
        <v>32</v>
      </c>
    </row>
    <row r="26" spans="1:6" s="128" customFormat="1" ht="41.4" x14ac:dyDescent="0.3">
      <c r="A26" s="129" t="s">
        <v>337</v>
      </c>
      <c r="B26" s="129" t="s">
        <v>340</v>
      </c>
      <c r="C26" s="127" t="s">
        <v>105</v>
      </c>
      <c r="D26" s="127" t="s">
        <v>294</v>
      </c>
      <c r="E26" s="127">
        <v>3</v>
      </c>
      <c r="F26" s="128" t="s">
        <v>44</v>
      </c>
    </row>
    <row r="27" spans="1:6" s="128" customFormat="1" ht="27.6" x14ac:dyDescent="0.3">
      <c r="A27" s="129" t="s">
        <v>338</v>
      </c>
      <c r="B27" s="129" t="s">
        <v>305</v>
      </c>
      <c r="C27" s="127" t="s">
        <v>105</v>
      </c>
      <c r="D27" s="127" t="s">
        <v>294</v>
      </c>
      <c r="E27" s="127">
        <v>3</v>
      </c>
      <c r="F27" s="128" t="s">
        <v>45</v>
      </c>
    </row>
    <row r="28" spans="1:6" s="128" customFormat="1" ht="41.4" x14ac:dyDescent="0.3">
      <c r="A28" s="127" t="s">
        <v>346</v>
      </c>
      <c r="B28" s="129" t="s">
        <v>341</v>
      </c>
      <c r="C28" s="127" t="s">
        <v>104</v>
      </c>
      <c r="D28" s="127"/>
      <c r="E28" s="127"/>
      <c r="F28" s="128" t="s">
        <v>33</v>
      </c>
    </row>
    <row r="29" spans="1:6" s="128" customFormat="1" x14ac:dyDescent="0.3">
      <c r="A29" s="129"/>
      <c r="B29" s="129"/>
      <c r="C29" s="127"/>
      <c r="D29" s="127" t="s">
        <v>294</v>
      </c>
      <c r="E29" s="127">
        <v>3</v>
      </c>
      <c r="F29" s="128" t="s">
        <v>45</v>
      </c>
    </row>
    <row r="30" spans="1:6" s="128" customFormat="1" x14ac:dyDescent="0.3">
      <c r="A30" s="129"/>
      <c r="B30" s="129"/>
      <c r="C30" s="127"/>
      <c r="D30" s="127" t="s">
        <v>294</v>
      </c>
      <c r="E30" s="127">
        <v>3</v>
      </c>
      <c r="F30" s="128" t="s">
        <v>45</v>
      </c>
    </row>
    <row r="31" spans="1:6" s="128" customFormat="1" x14ac:dyDescent="0.3">
      <c r="A31" s="129"/>
      <c r="B31" s="129"/>
      <c r="C31" s="127"/>
      <c r="D31" s="127" t="s">
        <v>294</v>
      </c>
      <c r="E31" s="127">
        <v>3</v>
      </c>
      <c r="F31" s="128" t="s">
        <v>45</v>
      </c>
    </row>
    <row r="32" spans="1:6" s="128" customFormat="1" x14ac:dyDescent="0.3">
      <c r="A32" s="129"/>
      <c r="B32" s="129"/>
      <c r="C32" s="127"/>
      <c r="D32" s="127" t="s">
        <v>294</v>
      </c>
      <c r="E32" s="127">
        <v>3</v>
      </c>
      <c r="F32" s="128" t="s">
        <v>45</v>
      </c>
    </row>
    <row r="33" spans="1:6" s="128" customFormat="1" x14ac:dyDescent="0.3">
      <c r="A33" s="129"/>
      <c r="B33" s="129"/>
      <c r="C33" s="127"/>
      <c r="D33" s="127" t="s">
        <v>294</v>
      </c>
      <c r="E33" s="127">
        <v>3</v>
      </c>
      <c r="F33" s="128" t="s">
        <v>45</v>
      </c>
    </row>
    <row r="34" spans="1:6" s="128" customFormat="1" x14ac:dyDescent="0.3">
      <c r="A34" s="129"/>
      <c r="B34" s="129"/>
      <c r="C34" s="127"/>
      <c r="D34" s="127" t="s">
        <v>294</v>
      </c>
      <c r="E34" s="127">
        <v>3</v>
      </c>
      <c r="F34" s="128" t="s">
        <v>45</v>
      </c>
    </row>
    <row r="35" spans="1:6" s="128" customFormat="1" x14ac:dyDescent="0.3">
      <c r="A35" s="129"/>
      <c r="B35" s="129"/>
      <c r="C35" s="127"/>
      <c r="D35" s="127" t="s">
        <v>294</v>
      </c>
      <c r="E35" s="127">
        <v>3</v>
      </c>
      <c r="F35" s="128" t="s">
        <v>45</v>
      </c>
    </row>
    <row r="36" spans="1:6" s="128" customFormat="1" x14ac:dyDescent="0.3">
      <c r="A36" s="129"/>
      <c r="B36" s="129"/>
      <c r="C36" s="127"/>
      <c r="D36" s="127" t="s">
        <v>294</v>
      </c>
      <c r="E36" s="127">
        <v>3</v>
      </c>
      <c r="F36" s="128" t="s">
        <v>45</v>
      </c>
    </row>
    <row r="37" spans="1:6" s="128" customFormat="1" x14ac:dyDescent="0.3">
      <c r="A37" s="129"/>
      <c r="B37" s="129"/>
      <c r="C37" s="127"/>
      <c r="D37" s="127" t="s">
        <v>294</v>
      </c>
      <c r="E37" s="127">
        <v>3</v>
      </c>
      <c r="F37" s="128" t="s">
        <v>45</v>
      </c>
    </row>
    <row r="38" spans="1:6" s="128" customFormat="1" x14ac:dyDescent="0.3">
      <c r="A38" s="129"/>
      <c r="B38" s="129"/>
      <c r="C38" s="127"/>
      <c r="D38" s="127" t="s">
        <v>294</v>
      </c>
      <c r="E38" s="127">
        <v>3</v>
      </c>
      <c r="F38" s="128" t="s">
        <v>45</v>
      </c>
    </row>
    <row r="39" spans="1:6" s="128" customFormat="1" x14ac:dyDescent="0.3">
      <c r="A39" s="129"/>
      <c r="B39" s="129"/>
      <c r="C39" s="127"/>
      <c r="D39" s="127" t="s">
        <v>294</v>
      </c>
      <c r="E39" s="127">
        <v>3</v>
      </c>
      <c r="F39" s="128" t="s">
        <v>45</v>
      </c>
    </row>
    <row r="40" spans="1:6" s="128" customFormat="1" x14ac:dyDescent="0.3">
      <c r="A40" s="129"/>
      <c r="B40" s="129"/>
      <c r="C40" s="127"/>
      <c r="D40" s="127" t="s">
        <v>294</v>
      </c>
      <c r="E40" s="127">
        <v>3</v>
      </c>
      <c r="F40" s="128" t="s">
        <v>45</v>
      </c>
    </row>
    <row r="41" spans="1:6" s="128" customFormat="1" x14ac:dyDescent="0.3">
      <c r="A41" s="129"/>
      <c r="B41" s="129"/>
      <c r="C41" s="127"/>
      <c r="D41" s="127" t="s">
        <v>294</v>
      </c>
      <c r="E41" s="127">
        <v>3</v>
      </c>
    </row>
    <row r="42" spans="1:6" s="128" customFormat="1" x14ac:dyDescent="0.3">
      <c r="A42" s="129"/>
      <c r="B42" s="129"/>
      <c r="C42" s="127"/>
      <c r="D42" s="127" t="s">
        <v>294</v>
      </c>
      <c r="E42" s="127">
        <v>3</v>
      </c>
    </row>
    <row r="43" spans="1:6" s="128" customFormat="1" x14ac:dyDescent="0.3">
      <c r="A43" s="129"/>
      <c r="B43" s="129"/>
      <c r="C43" s="127"/>
      <c r="D43" s="127" t="s">
        <v>294</v>
      </c>
      <c r="E43" s="127">
        <v>3</v>
      </c>
    </row>
    <row r="44" spans="1:6" s="128" customFormat="1" x14ac:dyDescent="0.3">
      <c r="A44" s="129"/>
      <c r="B44" s="129"/>
      <c r="C44" s="127"/>
      <c r="D44" s="127" t="s">
        <v>294</v>
      </c>
      <c r="E44" s="127">
        <v>3</v>
      </c>
    </row>
    <row r="45" spans="1:6" s="128" customFormat="1" x14ac:dyDescent="0.3">
      <c r="A45" s="129"/>
      <c r="B45" s="129"/>
      <c r="C45" s="127"/>
      <c r="D45" s="127" t="s">
        <v>294</v>
      </c>
      <c r="E45" s="127">
        <v>3</v>
      </c>
    </row>
  </sheetData>
  <autoFilter ref="C1:C45" xr:uid="{8774A9C7-E3F6-4B53-830E-952EBA874745}"/>
  <sortState xmlns:xlrd2="http://schemas.microsoft.com/office/spreadsheetml/2017/richdata2" ref="C1:C45">
    <sortCondition descending="1" ref="C16:C45"/>
  </sortState>
  <mergeCells count="1">
    <mergeCell ref="A1:B1"/>
  </mergeCells>
  <dataValidations count="1">
    <dataValidation type="list" allowBlank="1" showInputMessage="1" showErrorMessage="1" sqref="C3:C45" xr:uid="{5AE062F0-EA09-46EB-B91B-AFFC4F9EC810}">
      <formula1>$L$2:$L$6</formula1>
    </dataValidation>
  </dataValidations>
  <pageMargins left="0.70000000000000007" right="0.70000000000000007" top="0.75" bottom="0.75" header="0.30000000000000004" footer="0.3000000000000000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51A215EEE553D46A1DF4B1BF48966AA" ma:contentTypeVersion="5" ma:contentTypeDescription="Vytvoří nový dokument" ma:contentTypeScope="" ma:versionID="973f0d9a545e46026763cefa2b6edee5">
  <xsd:schema xmlns:xsd="http://www.w3.org/2001/XMLSchema" xmlns:xs="http://www.w3.org/2001/XMLSchema" xmlns:p="http://schemas.microsoft.com/office/2006/metadata/properties" xmlns:ns3="75eb3086-eaf4-43a5-a077-25b518b7ee36" targetNamespace="http://schemas.microsoft.com/office/2006/metadata/properties" ma:root="true" ma:fieldsID="9d6d0d7a984c31bf032e3364bcab30ce" ns3:_="">
    <xsd:import namespace="75eb3086-eaf4-43a5-a077-25b518b7ee36"/>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eb3086-eaf4-43a5-a077-25b518b7ee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5eb3086-eaf4-43a5-a077-25b518b7ee3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E1BF62-338E-4E15-971F-500299CAD1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eb3086-eaf4-43a5-a077-25b518b7ee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0C8500-C6EB-4A28-8CF6-04083391408A}">
  <ds:schemaRefs>
    <ds:schemaRef ds:uri="http://schemas.microsoft.com/office/2006/metadata/properties"/>
    <ds:schemaRef ds:uri="http://schemas.microsoft.com/office/2006/documentManagement/types"/>
    <ds:schemaRef ds:uri="http://purl.org/dc/terms/"/>
    <ds:schemaRef ds:uri="http://purl.org/dc/elements/1.1/"/>
    <ds:schemaRef ds:uri="http://www.w3.org/XML/1998/namespace"/>
    <ds:schemaRef ds:uri="http://purl.org/dc/dcmitype/"/>
    <ds:schemaRef ds:uri="http://schemas.microsoft.com/office/infopath/2007/PartnerControls"/>
    <ds:schemaRef ds:uri="http://schemas.openxmlformats.org/package/2006/metadata/core-properties"/>
    <ds:schemaRef ds:uri="75eb3086-eaf4-43a5-a077-25b518b7ee36"/>
  </ds:schemaRefs>
</ds:datastoreItem>
</file>

<file path=customXml/itemProps3.xml><?xml version="1.0" encoding="utf-8"?>
<ds:datastoreItem xmlns:ds="http://schemas.openxmlformats.org/officeDocument/2006/customXml" ds:itemID="{D8B51AD8-D5C8-4AF3-9785-131CBA406C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具名範圍</vt:lpstr>
      </vt:variant>
      <vt:variant>
        <vt:i4>1</vt:i4>
      </vt:variant>
    </vt:vector>
  </HeadingPairs>
  <TitlesOfParts>
    <vt:vector size="18" baseType="lpstr">
      <vt:lpstr>úvodní stránka</vt:lpstr>
      <vt:lpstr>1. obecné prostředí</vt:lpstr>
      <vt:lpstr>2. odvětví</vt:lpstr>
      <vt:lpstr>3. interní</vt:lpstr>
      <vt:lpstr>4. stakeholdeři a změna</vt:lpstr>
      <vt:lpstr>5. Faktory prostředí</vt:lpstr>
      <vt:lpstr>5. SWOT</vt:lpstr>
      <vt:lpstr>5. TOWS matrix</vt:lpstr>
      <vt:lpstr>5. cíle - SMART</vt:lpstr>
      <vt:lpstr>List2</vt:lpstr>
      <vt:lpstr>List1</vt:lpstr>
      <vt:lpstr>6. Formulace strategie</vt:lpstr>
      <vt:lpstr>2.Analýza hodnotové křivky</vt:lpstr>
      <vt:lpstr>3. pracovní list</vt:lpstr>
      <vt:lpstr>4.Power-interest Matrix</vt:lpstr>
      <vt:lpstr>4.Členění inovací</vt:lpstr>
      <vt:lpstr>Sheet1</vt:lpstr>
      <vt:lpstr>'1. obecné prostředí'!Print_Area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Stanislav Tripes</dc:creator>
  <cp:lastModifiedBy>Shuli Chen</cp:lastModifiedBy>
  <cp:lastPrinted>2024-12-14T13:21:05Z</cp:lastPrinted>
  <dcterms:created xsi:type="dcterms:W3CDTF">2019-11-06T10:17:03Z</dcterms:created>
  <dcterms:modified xsi:type="dcterms:W3CDTF">2026-01-09T15:28:39Z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0x010100251A215EEE553D46A1DF4B1BF48966AA</vt:lpwstr>
  </property>
</Properties>
</file>